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oes" sheetId="1" r:id="rId5"/>
    <sheet state="visible" name="damage calculator" sheetId="2" r:id="rId6"/>
    <sheet state="visible" name="Hero meta ranking" sheetId="3" r:id="rId7"/>
    <sheet state="visible" name="boon item scaling" sheetId="4" r:id="rId8"/>
    <sheet state="visible" name="Damage Comparison" sheetId="5" r:id="rId9"/>
    <sheet state="visible" name="Hidden Mechanics" sheetId="6" r:id="rId10"/>
    <sheet state="visible" name="shopBonuses" sheetId="7" r:id="rId11"/>
    <sheet state="visible" name="Neutral" sheetId="8" r:id="rId12"/>
    <sheet state="visible" name="ttk" sheetId="9" r:id="rId13"/>
    <sheet state="visible" name="haze" sheetId="10" r:id="rId14"/>
    <sheet state="visible" name="scratchpad" sheetId="11" r:id="rId15"/>
  </sheets>
  <definedNames>
    <definedName hidden="1" localSheetId="0" name="_xlnm._FilterDatabase">Heroes!$A$5:$AS$48</definedName>
    <definedName hidden="1" localSheetId="0" name="Z_BCA811B6_4623_4358_9129_9703F2E0C9BA_.wvu.FilterData">Heroes!$A$5:$Y$27</definedName>
    <definedName hidden="1" localSheetId="0" name="Z_126F3014_2685_413E_B86C_F74A4F0E307E_.wvu.FilterData">Heroes!$A$5:$Y$33</definedName>
    <definedName hidden="1" localSheetId="0" name="Z_F11D4AF8_3A33_4DA4_BD38_B0AE496F4BA9_.wvu.FilterData">Heroes!$A$5:$Y$27</definedName>
  </definedNames>
  <calcPr/>
  <customWorkbookViews>
    <customWorkbookView activeSheetId="0" maximized="1" windowHeight="0" windowWidth="0" guid="{BCA811B6-4623-4358-9129-9703F2E0C9BA}" name="1"/>
    <customWorkbookView activeSheetId="0" maximized="1" windowHeight="0" windowWidth="0" guid="{F11D4AF8-3A33-4DA4-BD38-B0AE496F4BA9}" name="asdfasdf"/>
    <customWorkbookView activeSheetId="0" maximized="1" windowHeight="0" windowWidth="0" guid="{126F3014-2685-413E-B86C-F74A4F0E307E}" name="Filter 1"/>
  </customWorkbookViews>
</workbook>
</file>

<file path=xl/sharedStrings.xml><?xml version="1.0" encoding="utf-8"?>
<sst xmlns="http://schemas.openxmlformats.org/spreadsheetml/2006/main" count="717" uniqueCount="400">
  <si>
    <t>DEADLOCK HERO BASE STATS/SCALING</t>
  </si>
  <si>
    <t>TOTAL BOONS</t>
  </si>
  <si>
    <t>Hero Spirit</t>
  </si>
  <si>
    <t>TOTAL HEROES</t>
  </si>
  <si>
    <t>global modifier</t>
  </si>
  <si>
    <t>DPM = DAMAGE PER MAGAZINE</t>
  </si>
  <si>
    <t>todo: bullet radius</t>
  </si>
  <si>
    <t>if you want to use table sorting features, make a copy locally.  i can't enable that for viewers without giving editing permissions</t>
  </si>
  <si>
    <t>Hero Name</t>
  </si>
  <si>
    <t>Base Bullet Dmg</t>
  </si>
  <si>
    <t>Pellets</t>
  </si>
  <si>
    <t>Alt Fire Type/Dmg</t>
  </si>
  <si>
    <t>Alt Fire Pellets</t>
  </si>
  <si>
    <t>Base Ammo</t>
  </si>
  <si>
    <t>Base Fire Rate</t>
  </si>
  <si>
    <t>Base DPS</t>
  </si>
  <si>
    <t>DPM</t>
  </si>
  <si>
    <t>Falloff Range Min</t>
  </si>
  <si>
    <t>Falloff Range Max</t>
  </si>
  <si>
    <t>Hero Labs</t>
  </si>
  <si>
    <t>Base HP</t>
  </si>
  <si>
    <t>Base Regen</t>
  </si>
  <si>
    <t>Base Move Speed</t>
  </si>
  <si>
    <t>Base Sprint</t>
  </si>
  <si>
    <t>Base Stamina</t>
  </si>
  <si>
    <t>|||</t>
  </si>
  <si>
    <t>Dmg Gain</t>
  </si>
  <si>
    <t>HP Gain</t>
  </si>
  <si>
    <t>Spirit Gain</t>
  </si>
  <si>
    <t>|||||||</t>
  </si>
  <si>
    <t>Max Level HP</t>
  </si>
  <si>
    <t>Max Gun Damage</t>
  </si>
  <si>
    <t>Max Gun DPS</t>
  </si>
  <si>
    <t>Max DPM</t>
  </si>
  <si>
    <t>dps % growth increase</t>
  </si>
  <si>
    <t>hp % growth increase</t>
  </si>
  <si>
    <t>aggregate growth %</t>
  </si>
  <si>
    <t>||||||||||</t>
  </si>
  <si>
    <t>Spirit Scaling</t>
  </si>
  <si>
    <t>Spirit Ratio</t>
  </si>
  <si>
    <t>Spirit Bonus</t>
  </si>
  <si>
    <t>Spirit Scaling 2</t>
  </si>
  <si>
    <t>Spirit Ratio 2</t>
  </si>
  <si>
    <t>Spirit Bonus 2</t>
  </si>
  <si>
    <t>Ability 1 Damage</t>
  </si>
  <si>
    <t>Ability 2 Damage</t>
  </si>
  <si>
    <t>Ability 3 Damage</t>
  </si>
  <si>
    <t>Ability 1 Spirit Scaling</t>
  </si>
  <si>
    <t>Ability 1 Alt Scaling</t>
  </si>
  <si>
    <t>Ability 2 Spirit Scaling</t>
  </si>
  <si>
    <t>Ability 2 Alt Scaling</t>
  </si>
  <si>
    <t>Ability 3 Spirit Scaling</t>
  </si>
  <si>
    <t>Ability 3 Alt Scaling</t>
  </si>
  <si>
    <t>Column 40</t>
  </si>
  <si>
    <t>Celeste</t>
  </si>
  <si>
    <t>x</t>
  </si>
  <si>
    <t>Apollo</t>
  </si>
  <si>
    <t>Mina</t>
  </si>
  <si>
    <t>zoom</t>
  </si>
  <si>
    <t>Holliday</t>
  </si>
  <si>
    <t>Graves</t>
  </si>
  <si>
    <t>Mirage</t>
  </si>
  <si>
    <t>Doorman</t>
  </si>
  <si>
    <t>Silver</t>
  </si>
  <si>
    <t>Drifter</t>
  </si>
  <si>
    <t>Dynamo</t>
  </si>
  <si>
    <t>Lady Geist</t>
  </si>
  <si>
    <t>Grey Talon</t>
  </si>
  <si>
    <t>base damage</t>
  </si>
  <si>
    <t>movement speed</t>
  </si>
  <si>
    <t>Sinclair</t>
  </si>
  <si>
    <t>Paradox</t>
  </si>
  <si>
    <t>Viscous</t>
  </si>
  <si>
    <t>Lash</t>
  </si>
  <si>
    <t>Haze</t>
  </si>
  <si>
    <t>ammo (base)</t>
  </si>
  <si>
    <t>Shiv</t>
  </si>
  <si>
    <t>Infernus</t>
  </si>
  <si>
    <t>Abrams</t>
  </si>
  <si>
    <t>Vindicta</t>
  </si>
  <si>
    <t>fire rate</t>
  </si>
  <si>
    <t>Pocket</t>
  </si>
  <si>
    <t>Paige</t>
  </si>
  <si>
    <t>Bebop</t>
  </si>
  <si>
    <t>windup</t>
  </si>
  <si>
    <t>Mo &amp; Krill</t>
  </si>
  <si>
    <t>Wraith</t>
  </si>
  <si>
    <t>sprint speed</t>
  </si>
  <si>
    <t>REM</t>
  </si>
  <si>
    <t>Ivy</t>
  </si>
  <si>
    <t>Seven</t>
  </si>
  <si>
    <t>Yamato</t>
  </si>
  <si>
    <t>Venator</t>
  </si>
  <si>
    <t>Victor</t>
  </si>
  <si>
    <t>Kelvin</t>
  </si>
  <si>
    <t>Priest</t>
  </si>
  <si>
    <t>E</t>
  </si>
  <si>
    <t>Warden</t>
  </si>
  <si>
    <t>Billy</t>
  </si>
  <si>
    <t>Calico</t>
  </si>
  <si>
    <t>McGinnis</t>
  </si>
  <si>
    <t>Vyper</t>
  </si>
  <si>
    <t>BULLET DMG</t>
  </si>
  <si>
    <t>shred 1</t>
  </si>
  <si>
    <t>Enemy Res</t>
  </si>
  <si>
    <t>extended dmg info</t>
  </si>
  <si>
    <t>inc amount %</t>
  </si>
  <si>
    <t>weapon damage</t>
  </si>
  <si>
    <t>shred</t>
  </si>
  <si>
    <t>lucky shot?</t>
  </si>
  <si>
    <t>Hero</t>
  </si>
  <si>
    <t>Damage</t>
  </si>
  <si>
    <t>shred 2</t>
  </si>
  <si>
    <t>dmg shred or firerate?</t>
  </si>
  <si>
    <t>Damage Growth</t>
  </si>
  <si>
    <t>this uses values</t>
  </si>
  <si>
    <t>Boons</t>
  </si>
  <si>
    <t>shred 3</t>
  </si>
  <si>
    <t>Total Damage</t>
  </si>
  <si>
    <t>from the left</t>
  </si>
  <si>
    <t>lucky dps inc</t>
  </si>
  <si>
    <t>Bullets Per Sec</t>
  </si>
  <si>
    <t>shred 4</t>
  </si>
  <si>
    <t>10% shred</t>
  </si>
  <si>
    <t>20% wpn dmg</t>
  </si>
  <si>
    <t>10% fire rate</t>
  </si>
  <si>
    <t>mag size</t>
  </si>
  <si>
    <t>shred 5</t>
  </si>
  <si>
    <t>increased ammo</t>
  </si>
  <si>
    <t>Weapon Damage</t>
  </si>
  <si>
    <t>total shred</t>
  </si>
  <si>
    <t>DPB</t>
  </si>
  <si>
    <t>merc mag %</t>
  </si>
  <si>
    <t>final magsize</t>
  </si>
  <si>
    <t>Fire Rate</t>
  </si>
  <si>
    <t>magdump time</t>
  </si>
  <si>
    <t>BPS</t>
  </si>
  <si>
    <t>Modified DPS</t>
  </si>
  <si>
    <t>final resist</t>
  </si>
  <si>
    <t>Total DPS</t>
  </si>
  <si>
    <t>merc dmg</t>
  </si>
  <si>
    <t>Final DPS</t>
  </si>
  <si>
    <t>merc dps inc</t>
  </si>
  <si>
    <t>SPIRIT DMG</t>
  </si>
  <si>
    <t>Enemy Resist</t>
  </si>
  <si>
    <t>Spirit Strike</t>
  </si>
  <si>
    <t>Modified Spirit Multi 1</t>
  </si>
  <si>
    <t>Ability 1</t>
  </si>
  <si>
    <t>Ability 2</t>
  </si>
  <si>
    <t>Ability 3</t>
  </si>
  <si>
    <t>Ultimate</t>
  </si>
  <si>
    <t>Resist Shred</t>
  </si>
  <si>
    <t>Mystic Vuln</t>
  </si>
  <si>
    <t>Modified Dmg+Spirit 1</t>
  </si>
  <si>
    <t>Base Damage</t>
  </si>
  <si>
    <t>Spirit Amp</t>
  </si>
  <si>
    <t>EE</t>
  </si>
  <si>
    <t>Spirit Multiplier</t>
  </si>
  <si>
    <t>Crippling</t>
  </si>
  <si>
    <t>Modified Spirit Multi 2</t>
  </si>
  <si>
    <t>Soulshredder</t>
  </si>
  <si>
    <t>Modified Dmg+Spirit 2</t>
  </si>
  <si>
    <t>Current Spirit</t>
  </si>
  <si>
    <t>Snatch</t>
  </si>
  <si>
    <t>Damage+Spirit</t>
  </si>
  <si>
    <t>Dmg Per Spirit</t>
  </si>
  <si>
    <t>Spirit Sap</t>
  </si>
  <si>
    <t>Modified Spirit Multi 3</t>
  </si>
  <si>
    <t>Raw Damage</t>
  </si>
  <si>
    <t>Modified Dmg+Spirit 3</t>
  </si>
  <si>
    <t>Modified Damage</t>
  </si>
  <si>
    <t>Dmg Per Spirit w/ Items</t>
  </si>
  <si>
    <t>EE Stacks</t>
  </si>
  <si>
    <t>Active Damage</t>
  </si>
  <si>
    <t>spirit bonus</t>
  </si>
  <si>
    <t>Modified Spirit Multi 4</t>
  </si>
  <si>
    <t>Cold Front</t>
  </si>
  <si>
    <t>Phantom Strike</t>
  </si>
  <si>
    <t>Mystic Shot</t>
  </si>
  <si>
    <t>Arctic Blast</t>
  </si>
  <si>
    <t>all actives</t>
  </si>
  <si>
    <t>Modified Dmg+Spirit 4</t>
  </si>
  <si>
    <t>ABILITY DUMP</t>
  </si>
  <si>
    <t>FULL DUMP</t>
  </si>
  <si>
    <t>after res/shred</t>
  </si>
  <si>
    <t>DoT Calc</t>
  </si>
  <si>
    <t>uses ability 1 values</t>
  </si>
  <si>
    <t>increased duration</t>
  </si>
  <si>
    <t>ability duration</t>
  </si>
  <si>
    <t>added duration</t>
  </si>
  <si>
    <t>total damage</t>
  </si>
  <si>
    <t>total more relevant for jg</t>
  </si>
  <si>
    <t>bonus duration</t>
  </si>
  <si>
    <t>total duration</t>
  </si>
  <si>
    <t xml:space="preserve">DPS </t>
  </si>
  <si>
    <t>dps more relevant for fighting</t>
  </si>
  <si>
    <t>dmg after resist</t>
  </si>
  <si>
    <t>Slowing Hex</t>
  </si>
  <si>
    <t>Silence Glyph</t>
  </si>
  <si>
    <t>SH+CF</t>
  </si>
  <si>
    <t>3 actives</t>
  </si>
  <si>
    <t>SG+CF</t>
  </si>
  <si>
    <t>ratings are out of 5 (minimum 1), all subject to personal opinion |  ratings are based on a 'good' game on average, not a fantastic or shit one</t>
  </si>
  <si>
    <t>hero name</t>
  </si>
  <si>
    <t>Early</t>
  </si>
  <si>
    <t>Mid</t>
  </si>
  <si>
    <t>Late</t>
  </si>
  <si>
    <t>Nuke (spirit)</t>
  </si>
  <si>
    <t>Nuke (phys)</t>
  </si>
  <si>
    <t>Poke</t>
  </si>
  <si>
    <t>Crowd Control</t>
  </si>
  <si>
    <t>Engage</t>
  </si>
  <si>
    <t>Disengage</t>
  </si>
  <si>
    <t>Mobility</t>
  </si>
  <si>
    <t>Mid Contest</t>
  </si>
  <si>
    <t>Frontline</t>
  </si>
  <si>
    <t>Pick</t>
  </si>
  <si>
    <t>Support</t>
  </si>
  <si>
    <t>Wave Clear</t>
  </si>
  <si>
    <t>Carry</t>
  </si>
  <si>
    <t>sustain dps (spirit)</t>
  </si>
  <si>
    <t>sustain dps (physical)</t>
  </si>
  <si>
    <t>average rank</t>
  </si>
  <si>
    <t>item</t>
  </si>
  <si>
    <t>Veilwalker</t>
  </si>
  <si>
    <t>Headhunter</t>
  </si>
  <si>
    <t>(damage)</t>
  </si>
  <si>
    <t>(heal)</t>
  </si>
  <si>
    <t>test</t>
  </si>
  <si>
    <t>base effect</t>
  </si>
  <si>
    <t xml:space="preserve">boon bonus </t>
  </si>
  <si>
    <t>boon</t>
  </si>
  <si>
    <t>modified value</t>
  </si>
  <si>
    <t>expressed as dps</t>
  </si>
  <si>
    <t>low comp</t>
  </si>
  <si>
    <t>high comp</t>
  </si>
  <si>
    <t>user selected comparison</t>
  </si>
  <si>
    <t>Boon Gain</t>
  </si>
  <si>
    <t>comparable low</t>
  </si>
  <si>
    <t>comparable high</t>
  </si>
  <si>
    <t>specific comparator</t>
  </si>
  <si>
    <t>Shiv Rage</t>
  </si>
  <si>
    <t>Lycan Transform</t>
  </si>
  <si>
    <t>Drain Rate</t>
  </si>
  <si>
    <t>0.35/s</t>
  </si>
  <si>
    <t>Rage Per Dmg</t>
  </si>
  <si>
    <t>Bullet Dmg Gain</t>
  </si>
  <si>
    <t>Max Rage</t>
  </si>
  <si>
    <t>Spirit Dmg Gain</t>
  </si>
  <si>
    <t>Rage Per Boon</t>
  </si>
  <si>
    <t>Light Melee Rage</t>
  </si>
  <si>
    <t>Crit Reduction</t>
  </si>
  <si>
    <t>Heavy Melee</t>
  </si>
  <si>
    <t>Rage Decay</t>
  </si>
  <si>
    <t>out of combat triggers decay</t>
  </si>
  <si>
    <t>Low HP Value</t>
  </si>
  <si>
    <t>decay does not count as in combat, so your rage will decay while it's active</t>
  </si>
  <si>
    <t>NPC Scaling</t>
  </si>
  <si>
    <t>Low HP Bonus</t>
  </si>
  <si>
    <t>Rage Decay Delay</t>
  </si>
  <si>
    <t>Low HP Scaling</t>
  </si>
  <si>
    <t>Execute HP Buffer</t>
  </si>
  <si>
    <t>Stack Duration</t>
  </si>
  <si>
    <t>Execute Movespeed</t>
  </si>
  <si>
    <t>25m/s</t>
  </si>
  <si>
    <t>Combat Rage</t>
  </si>
  <si>
    <t>in combat builds at this rate</t>
  </si>
  <si>
    <t>Wraith Card</t>
  </si>
  <si>
    <t>dmg required</t>
  </si>
  <si>
    <t>previous</t>
  </si>
  <si>
    <t>Resource Per Card</t>
  </si>
  <si>
    <t xml:space="preserve">NPC Scaling </t>
  </si>
  <si>
    <t>Resource Per Bullet</t>
  </si>
  <si>
    <t>Resource Per Crit</t>
  </si>
  <si>
    <t>Resource Per Light Melee</t>
  </si>
  <si>
    <t>Resource Per Heavy Melee</t>
  </si>
  <si>
    <t>Light Melee (npc)</t>
  </si>
  <si>
    <t>Heavy Melee (npc)</t>
  </si>
  <si>
    <t>tesla</t>
  </si>
  <si>
    <t>chance</t>
  </si>
  <si>
    <t>icd</t>
  </si>
  <si>
    <t>primary dmg</t>
  </si>
  <si>
    <t>cdr</t>
  </si>
  <si>
    <t>modified icd</t>
  </si>
  <si>
    <t>inc fire rate</t>
  </si>
  <si>
    <t>modified fire rate</t>
  </si>
  <si>
    <t>Cooldown Reduction Scale</t>
  </si>
  <si>
    <t>Diminishing Return</t>
  </si>
  <si>
    <t>bps required to proc on cd on average</t>
  </si>
  <si>
    <t>Chance</t>
  </si>
  <si>
    <t>Real</t>
  </si>
  <si>
    <t>Expected</t>
  </si>
  <si>
    <t>capacitor</t>
  </si>
  <si>
    <t>haze dmg chart w/ weapon dmg</t>
  </si>
  <si>
    <t>fixation damage</t>
  </si>
  <si>
    <t>haze dmg</t>
  </si>
  <si>
    <t>weapon dmg</t>
  </si>
  <si>
    <t>fixation stacks</t>
  </si>
  <si>
    <t>fixation</t>
  </si>
  <si>
    <t>dmg per shot</t>
  </si>
  <si>
    <t>dps</t>
  </si>
  <si>
    <t>fire rate %</t>
  </si>
  <si>
    <t>shots per sec</t>
  </si>
  <si>
    <t>max stack time</t>
  </si>
  <si>
    <t>trooper group soul value</t>
  </si>
  <si>
    <t>%split</t>
  </si>
  <si>
    <t>souls per player</t>
  </si>
  <si>
    <t>total souls</t>
  </si>
  <si>
    <t>10 mins</t>
  </si>
  <si>
    <t>20 mins</t>
  </si>
  <si>
    <t>trooper value</t>
  </si>
  <si>
    <t>wave value</t>
  </si>
  <si>
    <t>kill bounty</t>
  </si>
  <si>
    <t>minute</t>
  </si>
  <si>
    <t>bounty</t>
  </si>
  <si>
    <t>Weapon</t>
  </si>
  <si>
    <t>inc from previous</t>
  </si>
  <si>
    <t>Vitality</t>
  </si>
  <si>
    <t>Spirit</t>
  </si>
  <si>
    <t>random quick notes</t>
  </si>
  <si>
    <t>-</t>
  </si>
  <si>
    <t>weapon 3.2 and 9.6 big increases</t>
  </si>
  <si>
    <t>vit ~4.8 probably enough</t>
  </si>
  <si>
    <t>spirit benefit and priority depends greatly on your hero and ratios, additionally how many damaging items you buy // at least recommend getting a single 1600 item if you are not intending to go spirit</t>
  </si>
  <si>
    <t xml:space="preserve">Midboss </t>
  </si>
  <si>
    <t>HP</t>
  </si>
  <si>
    <t>Denizens</t>
  </si>
  <si>
    <t>Small</t>
  </si>
  <si>
    <t xml:space="preserve">Medium </t>
  </si>
  <si>
    <t>Ancient</t>
  </si>
  <si>
    <t>Vault</t>
  </si>
  <si>
    <t>cultist</t>
  </si>
  <si>
    <t>base souls</t>
  </si>
  <si>
    <t>&lt;-- from minute 0</t>
  </si>
  <si>
    <t>dmg shield</t>
  </si>
  <si>
    <t>spm</t>
  </si>
  <si>
    <t>&lt;-- vaults/ancients</t>
  </si>
  <si>
    <t>when he can spawn</t>
  </si>
  <si>
    <t>--&gt;</t>
  </si>
  <si>
    <t>these can only proc once</t>
  </si>
  <si>
    <t xml:space="preserve">tankbuster </t>
  </si>
  <si>
    <t>dmg</t>
  </si>
  <si>
    <t>t1</t>
  </si>
  <si>
    <t>t2</t>
  </si>
  <si>
    <t>t3</t>
  </si>
  <si>
    <t>mystic burst</t>
  </si>
  <si>
    <t>min</t>
  </si>
  <si>
    <t>dmg per mag</t>
  </si>
  <si>
    <t>Defender</t>
  </si>
  <si>
    <t>Max HP</t>
  </si>
  <si>
    <t>Boon HP</t>
  </si>
  <si>
    <t>With Boons</t>
  </si>
  <si>
    <t>Bonus HP (items)</t>
  </si>
  <si>
    <t>Shop Bonus</t>
  </si>
  <si>
    <t>Final HP</t>
  </si>
  <si>
    <t>Bullet Resist</t>
  </si>
  <si>
    <t>TTK</t>
  </si>
  <si>
    <t>player variables</t>
  </si>
  <si>
    <t>realistic DPS</t>
  </si>
  <si>
    <t>mags to kill</t>
  </si>
  <si>
    <t>DPM w/ acc</t>
  </si>
  <si>
    <t>final TTK</t>
  </si>
  <si>
    <t>Can onemag?</t>
  </si>
  <si>
    <t>accuracy</t>
  </si>
  <si>
    <t>hs accuracy</t>
  </si>
  <si>
    <t>hs multi</t>
  </si>
  <si>
    <t>TTK w/ accuracy</t>
  </si>
  <si>
    <t>modified dpm</t>
  </si>
  <si>
    <t>mag to kill</t>
  </si>
  <si>
    <t>boons</t>
  </si>
  <si>
    <t>no shred dps</t>
  </si>
  <si>
    <t>total dps</t>
  </si>
  <si>
    <t>no wpn dmg</t>
  </si>
  <si>
    <t>no fire rate</t>
  </si>
  <si>
    <t>baseline</t>
  </si>
  <si>
    <t>(.2 or .32)</t>
  </si>
  <si>
    <t>5% weapon dmg</t>
  </si>
  <si>
    <t>25% weapon dmg</t>
  </si>
  <si>
    <t>50% weapon dmg</t>
  </si>
  <si>
    <t>fixation stack equiv</t>
  </si>
  <si>
    <t>burst hero fire rate loss</t>
  </si>
  <si>
    <t>m_flIntraBurstCycleTime</t>
  </si>
  <si>
    <t>burst interval</t>
  </si>
  <si>
    <t>burst count</t>
  </si>
  <si>
    <t>unmodifiable fire rate</t>
  </si>
  <si>
    <t>cycle time</t>
  </si>
  <si>
    <t>real cycle time</t>
  </si>
  <si>
    <t>fire rate effectiveness</t>
  </si>
  <si>
    <t>seven</t>
  </si>
  <si>
    <t>paradox</t>
  </si>
  <si>
    <t>lash</t>
  </si>
  <si>
    <t>sinclair</t>
  </si>
  <si>
    <t>yamato 2max</t>
  </si>
  <si>
    <t xml:space="preserve">pellets </t>
  </si>
  <si>
    <t>inc from level 0</t>
  </si>
  <si>
    <t>inc from max lvl</t>
  </si>
  <si>
    <t>midpt</t>
  </si>
  <si>
    <t>30 dmg per shot</t>
  </si>
  <si>
    <t>enemy res</t>
  </si>
  <si>
    <t>base dmg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</si>
</sst>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&quot;s&quot;"/>
    <numFmt numFmtId="165" formatCode="0.00&quot;s&quot;"/>
    <numFmt numFmtId="166" formatCode="#,##0.00x"/>
    <numFmt numFmtId="167" formatCode="h&quot;:&quot;mm"/>
    <numFmt numFmtId="168" formatCode="h:mm:ss am/pm"/>
  </numFmts>
  <fonts count="51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FCE5CD"/>
      <name val="Arial"/>
      <scheme val="minor"/>
    </font>
    <font>
      <color rgb="FFFCE5CD"/>
      <name val="Arial"/>
      <scheme val="minor"/>
    </font>
    <font>
      <b/>
      <color rgb="FFFCE5CD"/>
      <name val="Arial"/>
      <scheme val="minor"/>
    </font>
    <font>
      <color rgb="FFFFF2CC"/>
      <name val="Arial"/>
      <scheme val="minor"/>
    </font>
    <font>
      <b/>
      <color rgb="FFFFFFFF"/>
      <name val="Arial"/>
      <scheme val="minor"/>
    </font>
    <font>
      <sz val="9.0"/>
      <color rgb="FFFFF2CC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rgb="FFFFD966"/>
      <name val="Arial"/>
      <scheme val="minor"/>
    </font>
    <font>
      <color rgb="FFFFD966"/>
      <name val="Arial"/>
      <scheme val="minor"/>
    </font>
    <font>
      <color rgb="FFF1C232"/>
      <name val="Arial"/>
      <scheme val="minor"/>
    </font>
    <font>
      <b/>
      <color rgb="FFF1C232"/>
      <name val="Arial"/>
      <scheme val="minor"/>
    </font>
    <font>
      <sz val="12.0"/>
      <color rgb="FFF1C232"/>
      <name val="Arial"/>
      <scheme val="minor"/>
    </font>
    <font>
      <b/>
      <color rgb="FFCC0000"/>
      <name val="Arial"/>
      <scheme val="minor"/>
    </font>
    <font>
      <b/>
      <color rgb="FF6D9EEB"/>
      <name val="Arial"/>
      <scheme val="minor"/>
    </font>
    <font>
      <color rgb="FF9900FF"/>
      <name val="Arial"/>
      <scheme val="minor"/>
    </font>
    <font>
      <b/>
      <color rgb="FF9900FF"/>
      <name val="Arial"/>
      <scheme val="minor"/>
    </font>
    <font>
      <color rgb="FF8E7CC3"/>
      <name val="Arial"/>
      <scheme val="minor"/>
    </font>
    <font>
      <b/>
      <color rgb="FF8E7CC3"/>
      <name val="Arial"/>
      <scheme val="minor"/>
    </font>
    <font>
      <b/>
      <sz val="12.0"/>
      <color rgb="FF8E7CC3"/>
      <name val="Arial"/>
      <scheme val="minor"/>
    </font>
    <font/>
    <font>
      <i/>
      <color rgb="FF8E7CC3"/>
      <name val="Arial"/>
      <scheme val="minor"/>
    </font>
    <font>
      <b/>
      <color rgb="FFB6D7A8"/>
      <name val="Arial"/>
      <scheme val="minor"/>
    </font>
    <font>
      <b/>
      <color rgb="FFA4C2F4"/>
      <name val="Arial"/>
      <scheme val="minor"/>
    </font>
    <font>
      <color rgb="FFA4C2F4"/>
      <name val="Arial"/>
      <scheme val="minor"/>
    </font>
    <font>
      <b/>
      <sz val="9.0"/>
      <color rgb="FF9FC5E8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b/>
      <sz val="9.0"/>
      <color rgb="FFFF0000"/>
      <name val="Arial"/>
      <scheme val="minor"/>
    </font>
    <font>
      <b/>
      <color rgb="FF93C47D"/>
      <name val="Arial"/>
      <scheme val="minor"/>
    </font>
    <font>
      <color rgb="FF93C47D"/>
      <name val="Arial"/>
      <scheme val="minor"/>
    </font>
    <font>
      <b/>
      <sz val="9.0"/>
      <color rgb="FF93C47D"/>
      <name val="Arial"/>
      <scheme val="minor"/>
    </font>
    <font>
      <b/>
      <color rgb="FFC27BA0"/>
      <name val="Arial"/>
      <scheme val="minor"/>
    </font>
    <font>
      <color rgb="FFC27BA0"/>
      <name val="Arial"/>
      <scheme val="minor"/>
    </font>
    <font>
      <b/>
      <sz val="9.0"/>
      <color rgb="FFC27BA0"/>
      <name val="Arial"/>
      <scheme val="minor"/>
    </font>
    <font>
      <color rgb="FFFFD966"/>
      <name val="Arial"/>
    </font>
    <font>
      <color rgb="FFF1C232"/>
      <name val="Arial"/>
    </font>
    <font>
      <color rgb="FFFFFFFF"/>
      <name val="Arial"/>
      <scheme val="minor"/>
    </font>
    <font>
      <color rgb="FFB45F06"/>
      <name val="Arial"/>
      <scheme val="minor"/>
    </font>
    <font>
      <b/>
      <color rgb="FF7F6000"/>
      <name val="Arial"/>
      <scheme val="minor"/>
    </font>
    <font>
      <color rgb="FFB7B7B7"/>
      <name val="Arial"/>
      <scheme val="minor"/>
    </font>
    <font>
      <b/>
      <color rgb="FFA2C4C9"/>
      <name val="Arial"/>
      <scheme val="minor"/>
    </font>
    <font>
      <color rgb="FF6D9EEB"/>
      <name val="Arial"/>
      <scheme val="minor"/>
    </font>
    <font>
      <b/>
      <sz val="12.0"/>
      <color rgb="FF6AA84F"/>
      <name val="Arial"/>
      <scheme val="minor"/>
    </font>
    <font>
      <color rgb="FFE06666"/>
      <name val="Arial"/>
      <scheme val="minor"/>
    </font>
    <font>
      <b/>
      <color rgb="FFE06666"/>
      <name val="Arial"/>
      <scheme val="minor"/>
    </font>
    <font>
      <b/>
      <sz val="12.0"/>
      <color rgb="FFF1C232"/>
      <name val="Arial"/>
      <scheme val="minor"/>
    </font>
    <font>
      <b/>
      <sz val="12.0"/>
      <color rgb="FFE06666"/>
      <name val="Arial"/>
      <scheme val="minor"/>
    </font>
    <font>
      <color rgb="FF999999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1C4587"/>
        <bgColor rgb="FF1C4587"/>
      </patternFill>
    </fill>
  </fills>
  <borders count="97">
    <border/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top style="thin">
        <color rgb="FFFFD966"/>
      </top>
    </border>
    <border>
      <right style="thin">
        <color rgb="FFFFD966"/>
      </right>
      <top style="thin">
        <color rgb="FFFFD966"/>
      </top>
    </border>
    <border>
      <left style="thin">
        <color rgb="FF9900FF"/>
      </left>
      <top style="thin">
        <color rgb="FF9900FF"/>
      </top>
      <bottom style="thin">
        <color rgb="FF9900FF"/>
      </bottom>
    </border>
    <border>
      <right style="thin">
        <color rgb="FF9900FF"/>
      </right>
      <top style="thin">
        <color rgb="FF9900FF"/>
      </top>
      <bottom style="thin">
        <color rgb="FF9900FF"/>
      </bottom>
    </border>
    <border>
      <top style="thin">
        <color rgb="FFF1C232"/>
      </top>
    </border>
    <border>
      <right style="thin">
        <color rgb="FFF1C232"/>
      </right>
      <top style="thin">
        <color rgb="FFF1C232"/>
      </top>
    </border>
    <border>
      <left style="thick">
        <color rgb="FFD0E0E3"/>
      </left>
      <top style="thick">
        <color rgb="FFD0E0E3"/>
      </top>
    </border>
    <border>
      <right style="thick">
        <color rgb="FFD0E0E3"/>
      </right>
      <top style="thick">
        <color rgb="FFD0E0E3"/>
      </top>
    </border>
    <border>
      <top style="thick">
        <color rgb="FFD0E0E3"/>
      </top>
    </border>
    <border>
      <left style="thin">
        <color rgb="FF6AA84F"/>
      </left>
      <right style="thick">
        <color rgb="FFD0E0E3"/>
      </right>
      <top style="thick">
        <color rgb="FFD0E0E3"/>
      </top>
    </border>
    <border>
      <left style="thin">
        <color rgb="FFFFD966"/>
      </left>
    </border>
    <border>
      <right style="thin">
        <color rgb="FFFFD966"/>
      </right>
    </border>
    <border>
      <right style="thin">
        <color rgb="FFF1C232"/>
      </right>
    </border>
    <border>
      <left style="thick">
        <color rgb="FFD0E0E3"/>
      </left>
    </border>
    <border>
      <right style="thick">
        <color rgb="FFD0E0E3"/>
      </right>
    </border>
    <border>
      <left style="thin">
        <color rgb="FF6AA84F"/>
      </left>
      <right style="thick">
        <color rgb="FFD0E0E3"/>
      </right>
    </border>
    <border>
      <left style="thick">
        <color rgb="FFD0E0E3"/>
      </left>
      <bottom style="thick">
        <color rgb="FFD0E0E3"/>
      </bottom>
    </border>
    <border>
      <right style="thick">
        <color rgb="FFD0E0E3"/>
      </right>
      <bottom style="thick">
        <color rgb="FFD0E0E3"/>
      </bottom>
    </border>
    <border>
      <left style="thin">
        <color rgb="FFFFD966"/>
      </left>
      <right style="thick">
        <color rgb="FFC9DAF8"/>
      </right>
      <bottom style="thin">
        <color rgb="FFFFD966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</border>
    <border>
      <left style="thin">
        <color rgb="FF9900FF"/>
      </left>
      <right style="thick">
        <color rgb="FFD0E0E3"/>
      </right>
    </border>
    <border>
      <left style="thin">
        <color rgb="FFF1C232"/>
      </left>
      <right style="thin">
        <color rgb="FFF1C232"/>
      </right>
      <bottom style="thin">
        <color rgb="FFF1C232"/>
      </bottom>
    </border>
    <border>
      <bottom style="thin">
        <color rgb="FFFFD966"/>
      </bottom>
    </border>
    <border>
      <left style="thin">
        <color rgb="FFFFD966"/>
      </left>
      <bottom style="thin">
        <color rgb="FFFFD966"/>
      </bottom>
    </border>
    <border>
      <bottom style="thin">
        <color rgb="FFF1C232"/>
      </bottom>
    </border>
    <border>
      <right style="thin">
        <color rgb="FFF1C232"/>
      </right>
      <bottom style="thin">
        <color rgb="FFF1C232"/>
      </bottom>
    </border>
    <border>
      <left style="thin">
        <color rgb="FFFFD966"/>
      </left>
      <top style="thin">
        <color rgb="FFFFD966"/>
      </top>
      <bottom style="thin">
        <color rgb="FFFFD966"/>
      </bottom>
    </border>
    <border>
      <right style="thin">
        <color rgb="FFFFD966"/>
      </right>
      <top style="thin">
        <color rgb="FFFFD966"/>
      </top>
      <bottom style="thin">
        <color rgb="FFFFD966"/>
      </bottom>
    </border>
    <border>
      <left style="thick">
        <color rgb="FFD0E0E3"/>
      </left>
      <bottom style="thin">
        <color rgb="FFF1C232"/>
      </bottom>
    </border>
    <border>
      <left style="thin">
        <color rgb="FF9900FF"/>
      </left>
      <right style="thick">
        <color rgb="FFD0E0E3"/>
      </right>
      <bottom style="thin">
        <color rgb="FF9900FF"/>
      </bottom>
    </border>
    <border>
      <left style="thin">
        <color rgb="FF8E7CC3"/>
      </left>
      <right style="thin">
        <color rgb="FF8E7CC3"/>
      </right>
      <top style="thin">
        <color rgb="FF8E7CC3"/>
      </top>
      <bottom style="thin">
        <color rgb="FF8E7CC3"/>
      </bottom>
    </border>
    <border>
      <top style="thin">
        <color rgb="FF8E7CC3"/>
      </top>
    </border>
    <border>
      <top style="thin">
        <color rgb="FF8E7CC3"/>
      </top>
      <bottom style="thin">
        <color rgb="FF000000"/>
      </bottom>
    </border>
    <border>
      <left style="thin">
        <color rgb="FF8E7CC3"/>
      </left>
      <right style="thin">
        <color rgb="FF8E7CC3"/>
      </right>
      <top style="thin">
        <color rgb="FF8E7CC3"/>
      </top>
    </border>
    <border>
      <left style="thin">
        <color rgb="FF8E7CC3"/>
      </left>
      <top style="thin">
        <color rgb="FF8E7CC3"/>
      </top>
    </border>
    <border>
      <right style="thin">
        <color rgb="FF8E7CC3"/>
      </right>
      <top style="thin">
        <color rgb="FF8E7CC3"/>
      </top>
    </border>
    <border>
      <bottom style="thin">
        <color rgb="FF000000"/>
      </bottom>
    </border>
    <border>
      <left style="thin">
        <color rgb="FF8E7CC3"/>
      </left>
      <right style="thin">
        <color rgb="FF8E7CC3"/>
      </right>
      <bottom style="thin">
        <color rgb="FF8E7CC3"/>
      </bottom>
    </border>
    <border>
      <left style="thin">
        <color rgb="FF8E7CC3"/>
      </left>
    </border>
    <border>
      <right style="thin">
        <color rgb="FF8E7CC3"/>
      </right>
    </border>
    <border>
      <left style="thin">
        <color rgb="FF8E7CC3"/>
      </left>
      <bottom style="thin">
        <color rgb="FF8E7CC3"/>
      </bottom>
    </border>
    <border>
      <right style="thin">
        <color rgb="FF8E7CC3"/>
      </right>
      <bottom style="thin">
        <color rgb="FF8E7CC3"/>
      </bottom>
    </border>
    <border>
      <right style="thick">
        <color rgb="FFD0E0E3"/>
      </right>
      <bottom style="thin">
        <color rgb="FFF1C232"/>
      </bottom>
    </border>
    <border>
      <bottom style="thin">
        <color rgb="FF8E7CC3"/>
      </bottom>
    </border>
    <border>
      <left style="thin">
        <color rgb="FF8E7CC3"/>
      </left>
      <top style="thin">
        <color rgb="FF8E7CC3"/>
      </top>
      <bottom style="thin">
        <color rgb="FF8E7CC3"/>
      </bottom>
    </border>
    <border>
      <top style="thin">
        <color rgb="FF8E7CC3"/>
      </top>
      <bottom style="thin">
        <color rgb="FF8E7CC3"/>
      </bottom>
    </border>
    <border>
      <right style="thin">
        <color rgb="FF8E7CC3"/>
      </right>
      <top style="thin">
        <color rgb="FF8E7CC3"/>
      </top>
      <bottom style="thin">
        <color rgb="FF8E7CC3"/>
      </bottom>
    </border>
    <border>
      <left style="thin">
        <color rgb="FF674EA7"/>
      </left>
    </border>
    <border>
      <left style="thin">
        <color rgb="FF674EA7"/>
      </left>
      <bottom style="thin">
        <color rgb="FF8E7CC3"/>
      </bottom>
    </border>
    <border>
      <bottom style="thin">
        <color rgb="FF674EA7"/>
      </bottom>
    </border>
    <border>
      <right style="thin">
        <color rgb="FF000000"/>
      </right>
      <bottom style="thin">
        <color rgb="FF000000"/>
      </bottom>
    </border>
    <border>
      <bottom style="thick">
        <color rgb="FFD0E0E3"/>
      </bottom>
    </border>
    <border>
      <bottom style="thick">
        <color rgb="FFC9DAF8"/>
      </bottom>
    </border>
    <border>
      <left style="thin">
        <color rgb="FFF1C232"/>
      </left>
    </border>
    <border>
      <left style="thin">
        <color rgb="FFFFF2CC"/>
      </left>
      <right style="thin">
        <color rgb="FFFFF2CC"/>
      </right>
      <top style="thin">
        <color rgb="FF8E7CC3"/>
      </top>
    </border>
    <border>
      <left style="thin">
        <color rgb="FFFFF2CC"/>
      </left>
      <right style="thin">
        <color rgb="FF8E7CC3"/>
      </right>
      <top style="thin">
        <color rgb="FF8E7CC3"/>
      </top>
    </border>
    <border>
      <left style="thin">
        <color rgb="FFFFF2CC"/>
      </left>
      <right style="thin">
        <color rgb="FFFFF2CC"/>
      </right>
    </border>
    <border>
      <left style="thin">
        <color rgb="FFFFF2CC"/>
      </left>
      <right style="thin">
        <color rgb="FF8E7CC3"/>
      </right>
    </border>
    <border>
      <left style="thin">
        <color rgb="FFFFF2CC"/>
      </left>
      <right style="thin">
        <color rgb="FFFFF2CC"/>
      </right>
      <bottom style="thin">
        <color rgb="FF8E7CC3"/>
      </bottom>
    </border>
    <border>
      <left style="thin">
        <color rgb="FFFFF2CC"/>
      </left>
      <right style="thin">
        <color rgb="FF8E7CC3"/>
      </right>
      <bottom style="thin">
        <color rgb="FF8E7CC3"/>
      </bottom>
    </border>
    <border>
      <left style="thin">
        <color rgb="FFF1C232"/>
      </left>
      <top style="thin">
        <color rgb="FFF1C232"/>
      </top>
    </border>
    <border>
      <bottom style="thin">
        <color rgb="FFFFE599"/>
      </bottom>
    </border>
    <border>
      <left style="thin">
        <color rgb="FFFFE599"/>
      </left>
      <right style="thin">
        <color rgb="FFFFE599"/>
      </right>
    </border>
    <border>
      <right style="thin">
        <color rgb="FFFFE599"/>
      </right>
    </border>
    <border>
      <left style="thin">
        <color rgb="FFFFE599"/>
      </left>
      <right style="thin">
        <color rgb="FFFFE599"/>
      </right>
      <bottom style="thin">
        <color rgb="FFFFE599"/>
      </bottom>
    </border>
    <border>
      <right style="thin">
        <color rgb="FFFFE599"/>
      </right>
      <bottom style="thin">
        <color rgb="FFFFE599"/>
      </bottom>
    </border>
    <border>
      <left style="thin">
        <color rgb="FFF1C232"/>
      </left>
      <bottom style="thin">
        <color rgb="FFF1C232"/>
      </bottom>
    </border>
    <border>
      <left style="thin">
        <color rgb="FFCFE2F3"/>
      </left>
      <top style="thin">
        <color rgb="FFCFE2F3"/>
      </top>
    </border>
    <border>
      <top style="thin">
        <color rgb="FFCFE2F3"/>
      </top>
    </border>
    <border>
      <right style="thin">
        <color rgb="FFCFE2F3"/>
      </right>
      <top style="thin">
        <color rgb="FFCFE2F3"/>
      </top>
    </border>
    <border>
      <left style="thin">
        <color rgb="FFCFE2F3"/>
      </left>
    </border>
    <border>
      <right style="thin">
        <color rgb="FFCFE2F3"/>
      </right>
    </border>
    <border>
      <bottom style="thick">
        <color rgb="FFF1C232"/>
      </bottom>
    </border>
    <border>
      <left style="thin">
        <color rgb="FFCFE2F3"/>
      </left>
      <bottom style="thin">
        <color rgb="FFCFE2F3"/>
      </bottom>
    </border>
    <border>
      <bottom style="thin">
        <color rgb="FFCFE2F3"/>
      </bottom>
    </border>
    <border>
      <right style="thin">
        <color rgb="FFCFE2F3"/>
      </right>
      <bottom style="thin">
        <color rgb="FFCFE2F3"/>
      </bottom>
    </border>
    <border>
      <left style="thin">
        <color rgb="FF6D9EEB"/>
      </left>
      <top style="thin">
        <color rgb="FF6D9EEB"/>
      </top>
    </border>
    <border>
      <top style="thin">
        <color rgb="FF6D9EEB"/>
      </top>
    </border>
    <border>
      <right style="thin">
        <color rgb="FF6D9EEB"/>
      </right>
      <top style="thin">
        <color rgb="FF6D9EEB"/>
      </top>
    </border>
    <border>
      <left style="thin">
        <color rgb="FF6D9EEB"/>
      </left>
    </border>
    <border>
      <right style="thin">
        <color rgb="FF6D9EEB"/>
      </right>
    </border>
    <border>
      <left style="thin">
        <color rgb="FF6D9EEB"/>
      </left>
      <bottom style="thin">
        <color rgb="FF6D9EEB"/>
      </bottom>
    </border>
    <border>
      <bottom style="thin">
        <color rgb="FF6D9EEB"/>
      </bottom>
    </border>
    <border>
      <right style="thin">
        <color rgb="FF6D9EEB"/>
      </right>
      <bottom style="thin">
        <color rgb="FF6D9EEB"/>
      </bottom>
    </border>
    <border>
      <left style="thick">
        <color rgb="FF980000"/>
      </left>
      <top style="thick">
        <color rgb="FF980000"/>
      </top>
    </border>
    <border>
      <top style="thick">
        <color rgb="FF980000"/>
      </top>
    </border>
    <border>
      <left style="thin">
        <color rgb="FFE06666"/>
      </left>
      <right style="thin">
        <color rgb="FFE06666"/>
      </right>
      <top style="thin">
        <color rgb="FFE06666"/>
      </top>
    </border>
    <border>
      <left style="thick">
        <color rgb="FF980000"/>
      </left>
      <bottom style="thick">
        <color rgb="FF980000"/>
      </bottom>
    </border>
    <border>
      <bottom style="thick">
        <color rgb="FF980000"/>
      </bottom>
    </border>
    <border>
      <left style="thin">
        <color rgb="FFE06666"/>
      </left>
      <right style="thin">
        <color rgb="FFE06666"/>
      </right>
    </border>
    <border>
      <left style="thin">
        <color rgb="FFE06666"/>
      </left>
      <right style="thin">
        <color rgb="FFE06666"/>
      </right>
      <bottom style="thin">
        <color rgb="FFE06666"/>
      </bottom>
    </border>
    <border>
      <left style="thin">
        <color rgb="FFF1C232"/>
      </left>
      <top style="thin">
        <color rgb="FFF1C232"/>
      </top>
      <bottom style="thin">
        <color rgb="FFF1C232"/>
      </bottom>
    </border>
    <border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</border>
  </borders>
  <cellStyleXfs count="1">
    <xf borderId="0" fillId="0" fontId="0" numFmtId="0" applyAlignment="1" applyFont="1"/>
  </cellStyleXfs>
  <cellXfs count="4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Alignment="1" applyFont="1">
      <alignment horizontal="center" readingOrder="0" vertical="center"/>
    </xf>
    <xf borderId="0" fillId="2" fontId="3" numFmtId="0" xfId="0" applyFont="1"/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5" numFmtId="0" xfId="0" applyAlignment="1" applyFont="1">
      <alignment horizontal="center"/>
    </xf>
    <xf borderId="0" fillId="2" fontId="3" numFmtId="10" xfId="0" applyAlignment="1" applyFont="1" applyNumberFormat="1">
      <alignment readingOrder="0"/>
    </xf>
    <xf borderId="0" fillId="3" fontId="6" numFmtId="0" xfId="0" applyAlignment="1" applyFill="1" applyFont="1">
      <alignment readingOrder="0"/>
    </xf>
    <xf borderId="0" fillId="3" fontId="3" numFmtId="0" xfId="0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2" fontId="5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shrinkToFit="0" vertical="center" wrapText="0"/>
    </xf>
    <xf borderId="0" fillId="2" fontId="5" numFmtId="10" xfId="0" applyAlignment="1" applyFont="1" applyNumberFormat="1">
      <alignment horizontal="center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3" numFmtId="4" xfId="0" applyAlignment="1" applyFont="1" applyNumberFormat="1">
      <alignment horizontal="center" readingOrder="0" shrinkToFit="0" vertical="center" wrapText="0"/>
    </xf>
    <xf borderId="0" fillId="2" fontId="3" numFmtId="2" xfId="0" applyAlignment="1" applyFont="1" applyNumberFormat="1">
      <alignment horizontal="center" readingOrder="0" shrinkToFit="0" vertical="center" wrapText="0"/>
    </xf>
    <xf borderId="0" fillId="2" fontId="7" numFmtId="0" xfId="0" applyAlignment="1" applyFont="1">
      <alignment horizontal="center" shrinkToFit="0" vertical="center" wrapText="0"/>
    </xf>
    <xf borderId="0" fillId="2" fontId="5" numFmtId="10" xfId="0" applyAlignment="1" applyFont="1" applyNumberFormat="1">
      <alignment shrinkToFit="0" vertical="center" wrapText="0"/>
    </xf>
    <xf borderId="0" fillId="2" fontId="3" numFmtId="10" xfId="0" applyAlignment="1" applyFont="1" applyNumberFormat="1">
      <alignment readingOrder="0" shrinkToFit="0" vertical="center" wrapText="0"/>
    </xf>
    <xf borderId="0" fillId="2" fontId="1" numFmtId="0" xfId="0" applyFont="1"/>
    <xf borderId="0" fillId="2" fontId="8" numFmtId="0" xfId="0" applyAlignment="1" applyFont="1">
      <alignment vertical="bottom"/>
    </xf>
    <xf borderId="0" fillId="2" fontId="9" numFmtId="0" xfId="0" applyFont="1"/>
    <xf borderId="0" fillId="2" fontId="9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1" fillId="2" fontId="10" numFmtId="0" xfId="0" applyAlignment="1" applyBorder="1" applyFont="1">
      <alignment horizontal="center" readingOrder="0"/>
    </xf>
    <xf borderId="2" fillId="2" fontId="11" numFmtId="0" xfId="0" applyBorder="1" applyFont="1"/>
    <xf borderId="2" fillId="2" fontId="11" numFmtId="0" xfId="0" applyAlignment="1" applyBorder="1" applyFont="1">
      <alignment readingOrder="0"/>
    </xf>
    <xf borderId="3" fillId="2" fontId="12" numFmtId="9" xfId="0" applyAlignment="1" applyBorder="1" applyFont="1" applyNumberFormat="1">
      <alignment readingOrder="0"/>
    </xf>
    <xf borderId="0" fillId="2" fontId="12" numFmtId="0" xfId="0" applyAlignment="1" applyFont="1">
      <alignment readingOrder="0"/>
    </xf>
    <xf borderId="4" fillId="2" fontId="11" numFmtId="0" xfId="0" applyAlignment="1" applyBorder="1" applyFont="1">
      <alignment readingOrder="0"/>
    </xf>
    <xf borderId="5" fillId="2" fontId="13" numFmtId="9" xfId="0" applyAlignment="1" applyBorder="1" applyFont="1" applyNumberFormat="1">
      <alignment horizontal="center" readingOrder="0"/>
    </xf>
    <xf borderId="0" fillId="2" fontId="11" numFmtId="0" xfId="0" applyAlignment="1" applyFont="1">
      <alignment readingOrder="0"/>
    </xf>
    <xf borderId="0" fillId="2" fontId="11" numFmtId="164" xfId="0" applyAlignment="1" applyFont="1" applyNumberFormat="1">
      <alignment horizontal="center"/>
    </xf>
    <xf borderId="6" fillId="2" fontId="11" numFmtId="0" xfId="0" applyAlignment="1" applyBorder="1" applyFont="1">
      <alignment readingOrder="0"/>
    </xf>
    <xf borderId="7" fillId="2" fontId="11" numFmtId="0" xfId="0" applyAlignment="1" applyBorder="1" applyFont="1">
      <alignment readingOrder="0"/>
    </xf>
    <xf borderId="0" fillId="2" fontId="11" numFmtId="0" xfId="0" applyFont="1"/>
    <xf borderId="8" fillId="2" fontId="11" numFmtId="0" xfId="0" applyAlignment="1" applyBorder="1" applyFont="1">
      <alignment readingOrder="0"/>
    </xf>
    <xf borderId="9" fillId="2" fontId="11" numFmtId="0" xfId="0" applyBorder="1" applyFont="1"/>
    <xf borderId="8" fillId="2" fontId="11" numFmtId="0" xfId="0" applyAlignment="1" applyBorder="1" applyFont="1">
      <alignment horizontal="center" readingOrder="0"/>
    </xf>
    <xf borderId="10" fillId="2" fontId="11" numFmtId="0" xfId="0" applyAlignment="1" applyBorder="1" applyFont="1">
      <alignment horizontal="center" readingOrder="0"/>
    </xf>
    <xf borderId="11" fillId="2" fontId="11" numFmtId="0" xfId="0" applyAlignment="1" applyBorder="1" applyFont="1">
      <alignment horizontal="center" readingOrder="0"/>
    </xf>
    <xf borderId="12" fillId="2" fontId="11" numFmtId="0" xfId="0" applyAlignment="1" applyBorder="1" applyFont="1">
      <alignment readingOrder="0"/>
    </xf>
    <xf borderId="13" fillId="2" fontId="12" numFmtId="9" xfId="0" applyAlignment="1" applyBorder="1" applyFont="1" applyNumberFormat="1">
      <alignment readingOrder="0"/>
    </xf>
    <xf borderId="0" fillId="2" fontId="14" numFmtId="0" xfId="0" applyAlignment="1" applyFont="1">
      <alignment horizontal="center" readingOrder="0"/>
    </xf>
    <xf borderId="0" fillId="2" fontId="12" numFmtId="0" xfId="0" applyFont="1"/>
    <xf borderId="14" fillId="2" fontId="11" numFmtId="0" xfId="0" applyAlignment="1" applyBorder="1" applyFont="1">
      <alignment horizontal="center" readingOrder="0"/>
    </xf>
    <xf borderId="15" fillId="2" fontId="11" numFmtId="0" xfId="0" applyAlignment="1" applyBorder="1" applyFont="1">
      <alignment readingOrder="0"/>
    </xf>
    <xf borderId="16" fillId="2" fontId="11" numFmtId="0" xfId="0" applyBorder="1" applyFont="1"/>
    <xf borderId="15" fillId="2" fontId="11" numFmtId="0" xfId="0" applyAlignment="1" applyBorder="1" applyFont="1">
      <alignment horizontal="center" readingOrder="0"/>
    </xf>
    <xf borderId="0" fillId="2" fontId="10" numFmtId="4" xfId="0" applyAlignment="1" applyFont="1" applyNumberFormat="1">
      <alignment horizontal="center"/>
    </xf>
    <xf borderId="0" fillId="2" fontId="15" numFmtId="4" xfId="0" applyAlignment="1" applyFont="1" applyNumberFormat="1">
      <alignment horizontal="center"/>
    </xf>
    <xf borderId="0" fillId="2" fontId="16" numFmtId="4" xfId="0" applyAlignment="1" applyFont="1" applyNumberFormat="1">
      <alignment horizontal="center"/>
    </xf>
    <xf borderId="17" fillId="2" fontId="10" numFmtId="4" xfId="0" applyAlignment="1" applyBorder="1" applyFont="1" applyNumberFormat="1">
      <alignment horizontal="center"/>
    </xf>
    <xf borderId="14" fillId="2" fontId="10" numFmtId="0" xfId="0" applyAlignment="1" applyBorder="1" applyFont="1">
      <alignment horizontal="center"/>
    </xf>
    <xf borderId="18" fillId="2" fontId="11" numFmtId="0" xfId="0" applyAlignment="1" applyBorder="1" applyFont="1">
      <alignment readingOrder="0"/>
    </xf>
    <xf borderId="19" fillId="2" fontId="11" numFmtId="0" xfId="0" applyBorder="1" applyFont="1"/>
    <xf borderId="17" fillId="2" fontId="11" numFmtId="0" xfId="0" applyAlignment="1" applyBorder="1" applyFont="1">
      <alignment horizontal="center" readingOrder="0"/>
    </xf>
    <xf borderId="12" fillId="2" fontId="11" numFmtId="0" xfId="0" applyBorder="1" applyFont="1"/>
    <xf borderId="14" fillId="2" fontId="11" numFmtId="0" xfId="0" applyBorder="1" applyFont="1"/>
    <xf borderId="20" fillId="2" fontId="11" numFmtId="4" xfId="0" applyAlignment="1" applyBorder="1" applyFont="1" applyNumberFormat="1">
      <alignment horizontal="center"/>
    </xf>
    <xf borderId="21" fillId="2" fontId="11" numFmtId="9" xfId="0" applyAlignment="1" applyBorder="1" applyFont="1" applyNumberFormat="1">
      <alignment readingOrder="0"/>
    </xf>
    <xf borderId="22" fillId="2" fontId="10" numFmtId="9" xfId="0" applyAlignment="1" applyBorder="1" applyFont="1" applyNumberFormat="1">
      <alignment horizontal="center" readingOrder="0"/>
    </xf>
    <xf borderId="13" fillId="2" fontId="10" numFmtId="10" xfId="0" applyAlignment="1" applyBorder="1" applyFont="1" applyNumberFormat="1">
      <alignment horizontal="center"/>
    </xf>
    <xf borderId="0" fillId="2" fontId="11" numFmtId="4" xfId="0" applyAlignment="1" applyFont="1" applyNumberFormat="1">
      <alignment horizontal="center"/>
    </xf>
    <xf borderId="23" fillId="2" fontId="17" numFmtId="0" xfId="0" applyAlignment="1" applyBorder="1" applyFont="1">
      <alignment horizontal="center" readingOrder="0"/>
    </xf>
    <xf borderId="0" fillId="2" fontId="10" numFmtId="1" xfId="0" applyAlignment="1" applyFont="1" applyNumberFormat="1">
      <alignment horizontal="center" readingOrder="0"/>
    </xf>
    <xf borderId="24" fillId="2" fontId="10" numFmtId="9" xfId="0" applyAlignment="1" applyBorder="1" applyFont="1" applyNumberFormat="1">
      <alignment horizontal="center" readingOrder="0"/>
    </xf>
    <xf borderId="14" fillId="2" fontId="1" numFmtId="0" xfId="0" applyBorder="1" applyFont="1"/>
    <xf borderId="0" fillId="2" fontId="12" numFmtId="165" xfId="0" applyFont="1" applyNumberFormat="1"/>
    <xf borderId="25" fillId="2" fontId="11" numFmtId="0" xfId="0" applyAlignment="1" applyBorder="1" applyFont="1">
      <alignment readingOrder="0"/>
    </xf>
    <xf borderId="25" fillId="2" fontId="11" numFmtId="0" xfId="0" applyAlignment="1" applyBorder="1" applyFont="1">
      <alignment horizontal="center"/>
    </xf>
    <xf borderId="23" fillId="2" fontId="18" numFmtId="10" xfId="0" applyAlignment="1" applyBorder="1" applyFont="1" applyNumberFormat="1">
      <alignment horizontal="center" readingOrder="0"/>
    </xf>
    <xf borderId="26" fillId="2" fontId="11" numFmtId="0" xfId="0" applyBorder="1" applyFont="1"/>
    <xf borderId="25" fillId="2" fontId="11" numFmtId="0" xfId="0" applyBorder="1" applyFont="1"/>
    <xf borderId="25" fillId="2" fontId="11" numFmtId="4" xfId="0" applyBorder="1" applyFont="1" applyNumberFormat="1"/>
    <xf borderId="27" fillId="2" fontId="10" numFmtId="0" xfId="0" applyAlignment="1" applyBorder="1" applyFont="1">
      <alignment readingOrder="0"/>
    </xf>
    <xf borderId="28" fillId="2" fontId="13" numFmtId="9" xfId="0" applyAlignment="1" applyBorder="1" applyFont="1" applyNumberFormat="1">
      <alignment horizontal="center" readingOrder="0"/>
    </xf>
    <xf borderId="0" fillId="2" fontId="19" numFmtId="0" xfId="0" applyAlignment="1" applyFont="1">
      <alignment readingOrder="0"/>
    </xf>
    <xf borderId="14" fillId="2" fontId="19" numFmtId="0" xfId="0" applyBorder="1" applyFont="1"/>
    <xf borderId="23" fillId="2" fontId="18" numFmtId="0" xfId="0" applyAlignment="1" applyBorder="1" applyFont="1">
      <alignment horizontal="center"/>
    </xf>
    <xf borderId="0" fillId="2" fontId="11" numFmtId="10" xfId="0" applyAlignment="1" applyFont="1" applyNumberFormat="1">
      <alignment readingOrder="0"/>
    </xf>
    <xf borderId="29" fillId="2" fontId="13" numFmtId="0" xfId="0" applyAlignment="1" applyBorder="1" applyFont="1">
      <alignment readingOrder="0"/>
    </xf>
    <xf borderId="30" fillId="2" fontId="13" numFmtId="4" xfId="0" applyAlignment="1" applyBorder="1" applyFont="1" applyNumberFormat="1">
      <alignment horizontal="center"/>
    </xf>
    <xf borderId="0" fillId="2" fontId="19" numFmtId="0" xfId="0" applyFont="1"/>
    <xf borderId="0" fillId="2" fontId="11" numFmtId="9" xfId="0" applyFont="1" applyNumberFormat="1"/>
    <xf borderId="31" fillId="2" fontId="11" numFmtId="0" xfId="0" applyAlignment="1" applyBorder="1" applyFont="1">
      <alignment horizontal="center" readingOrder="0"/>
    </xf>
    <xf borderId="27" fillId="2" fontId="10" numFmtId="4" xfId="0" applyAlignment="1" applyBorder="1" applyFont="1" applyNumberFormat="1">
      <alignment horizontal="center"/>
    </xf>
    <xf borderId="27" fillId="2" fontId="15" numFmtId="4" xfId="0" applyAlignment="1" applyBorder="1" applyFont="1" applyNumberFormat="1">
      <alignment horizontal="center"/>
    </xf>
    <xf borderId="27" fillId="2" fontId="16" numFmtId="4" xfId="0" applyAlignment="1" applyBorder="1" applyFont="1" applyNumberFormat="1">
      <alignment horizontal="center"/>
    </xf>
    <xf borderId="32" fillId="2" fontId="18" numFmtId="4" xfId="0" applyAlignment="1" applyBorder="1" applyFont="1" applyNumberFormat="1">
      <alignment horizontal="center"/>
    </xf>
    <xf borderId="33" fillId="2" fontId="19" numFmtId="0" xfId="0" applyAlignment="1" applyBorder="1" applyFont="1">
      <alignment readingOrder="0"/>
    </xf>
    <xf borderId="34" fillId="2" fontId="19" numFmtId="0" xfId="0" applyBorder="1" applyFont="1"/>
    <xf borderId="34" fillId="2" fontId="19" numFmtId="0" xfId="0" applyAlignment="1" applyBorder="1" applyFont="1">
      <alignment readingOrder="0"/>
    </xf>
    <xf borderId="34" fillId="2" fontId="20" numFmtId="9" xfId="0" applyAlignment="1" applyBorder="1" applyFont="1" applyNumberFormat="1">
      <alignment horizontal="center" readingOrder="0"/>
    </xf>
    <xf borderId="35" fillId="2" fontId="19" numFmtId="0" xfId="0" applyAlignment="1" applyBorder="1" applyFont="1">
      <alignment readingOrder="0"/>
    </xf>
    <xf borderId="36" fillId="2" fontId="20" numFmtId="2" xfId="0" applyAlignment="1" applyBorder="1" applyFont="1" applyNumberFormat="1">
      <alignment horizontal="center"/>
    </xf>
    <xf borderId="16" fillId="2" fontId="18" numFmtId="4" xfId="0" applyAlignment="1" applyBorder="1" applyFont="1" applyNumberFormat="1">
      <alignment horizontal="center"/>
    </xf>
    <xf borderId="37" fillId="2" fontId="19" numFmtId="0" xfId="0" applyAlignment="1" applyBorder="1" applyFont="1">
      <alignment readingOrder="0"/>
    </xf>
    <xf borderId="38" fillId="2" fontId="19" numFmtId="0" xfId="0" applyAlignment="1" applyBorder="1" applyFont="1">
      <alignment readingOrder="0"/>
    </xf>
    <xf borderId="38" fillId="2" fontId="19" numFmtId="0" xfId="0" applyBorder="1" applyFont="1"/>
    <xf borderId="0" fillId="2" fontId="20" numFmtId="9" xfId="0" applyAlignment="1" applyFont="1" applyNumberFormat="1">
      <alignment horizontal="center" readingOrder="0"/>
    </xf>
    <xf borderId="39" fillId="2" fontId="19" numFmtId="0" xfId="0" applyAlignment="1" applyBorder="1" applyFont="1">
      <alignment readingOrder="0"/>
    </xf>
    <xf borderId="40" fillId="2" fontId="20" numFmtId="2" xfId="0" applyAlignment="1" applyBorder="1" applyFont="1" applyNumberFormat="1">
      <alignment horizontal="center"/>
    </xf>
    <xf borderId="41" fillId="2" fontId="19" numFmtId="0" xfId="0" applyAlignment="1" applyBorder="1" applyFont="1">
      <alignment readingOrder="0"/>
    </xf>
    <xf borderId="42" fillId="2" fontId="20" numFmtId="0" xfId="0" applyAlignment="1" applyBorder="1" applyFont="1">
      <alignment horizontal="center" readingOrder="0"/>
    </xf>
    <xf borderId="39" fillId="2" fontId="19" numFmtId="0" xfId="0" applyAlignment="1" applyBorder="1" applyFont="1">
      <alignment readingOrder="0"/>
    </xf>
    <xf borderId="42" fillId="2" fontId="1" numFmtId="0" xfId="0" applyBorder="1" applyFont="1"/>
    <xf borderId="42" fillId="2" fontId="20" numFmtId="166" xfId="0" applyAlignment="1" applyBorder="1" applyFont="1" applyNumberFormat="1">
      <alignment horizontal="center" readingOrder="0"/>
    </xf>
    <xf borderId="36" fillId="2" fontId="20" numFmtId="2" xfId="0" applyAlignment="1" applyBorder="1" applyFont="1" applyNumberFormat="1">
      <alignment horizontal="center"/>
    </xf>
    <xf borderId="41" fillId="2" fontId="19" numFmtId="0" xfId="0" applyBorder="1" applyFont="1"/>
    <xf borderId="42" fillId="2" fontId="20" numFmtId="0" xfId="0" applyAlignment="1" applyBorder="1" applyFont="1">
      <alignment horizontal="center"/>
    </xf>
    <xf borderId="40" fillId="2" fontId="20" numFmtId="4" xfId="0" applyAlignment="1" applyBorder="1" applyFont="1" applyNumberFormat="1">
      <alignment horizontal="center"/>
    </xf>
    <xf borderId="41" fillId="2" fontId="21" numFmtId="0" xfId="0" applyAlignment="1" applyBorder="1" applyFont="1">
      <alignment readingOrder="0"/>
    </xf>
    <xf borderId="42" fillId="2" fontId="21" numFmtId="0" xfId="0" applyAlignment="1" applyBorder="1" applyFont="1">
      <alignment horizontal="center"/>
    </xf>
    <xf borderId="0" fillId="2" fontId="20" numFmtId="2" xfId="0" applyAlignment="1" applyFont="1" applyNumberFormat="1">
      <alignment horizontal="center"/>
    </xf>
    <xf borderId="41" fillId="2" fontId="21" numFmtId="0" xfId="0" applyAlignment="1" applyBorder="1" applyFont="1">
      <alignment readingOrder="0" shrinkToFit="0" wrapText="1"/>
    </xf>
    <xf borderId="42" fillId="2" fontId="19" numFmtId="0" xfId="0" applyBorder="1" applyFont="1"/>
    <xf borderId="43" fillId="0" fontId="22" numFmtId="0" xfId="0" applyBorder="1" applyFont="1"/>
    <xf borderId="44" fillId="2" fontId="21" numFmtId="4" xfId="0" applyAlignment="1" applyBorder="1" applyFont="1" applyNumberFormat="1">
      <alignment horizontal="center"/>
    </xf>
    <xf borderId="44" fillId="2" fontId="21" numFmtId="0" xfId="0" applyAlignment="1" applyBorder="1" applyFont="1">
      <alignment horizontal="center"/>
    </xf>
    <xf borderId="0" fillId="2" fontId="19" numFmtId="0" xfId="0" applyAlignment="1" applyFont="1">
      <alignment horizontal="center" readingOrder="0"/>
    </xf>
    <xf borderId="45" fillId="2" fontId="11" numFmtId="0" xfId="0" applyBorder="1" applyFont="1"/>
    <xf borderId="46" fillId="2" fontId="19" numFmtId="0" xfId="0" applyAlignment="1" applyBorder="1" applyFont="1">
      <alignment readingOrder="0"/>
    </xf>
    <xf borderId="46" fillId="2" fontId="19" numFmtId="0" xfId="0" applyBorder="1" applyFont="1"/>
    <xf borderId="47" fillId="2" fontId="23" numFmtId="0" xfId="0" applyAlignment="1" applyBorder="1" applyFont="1">
      <alignment horizontal="center" readingOrder="0"/>
    </xf>
    <xf borderId="48" fillId="0" fontId="22" numFmtId="0" xfId="0" applyBorder="1" applyFont="1"/>
    <xf borderId="49" fillId="0" fontId="22" numFmtId="0" xfId="0" applyBorder="1" applyFont="1"/>
    <xf borderId="50" fillId="2" fontId="20" numFmtId="0" xfId="0" applyAlignment="1" applyBorder="1" applyFont="1">
      <alignment horizontal="center" readingOrder="0"/>
    </xf>
    <xf borderId="0" fillId="2" fontId="20" numFmtId="0" xfId="0" applyAlignment="1" applyFont="1">
      <alignment horizontal="center" readingOrder="0"/>
    </xf>
    <xf borderId="0" fillId="2" fontId="19" numFmtId="0" xfId="0" applyAlignment="1" applyFont="1">
      <alignment horizontal="center"/>
    </xf>
    <xf borderId="42" fillId="2" fontId="19" numFmtId="0" xfId="0" applyAlignment="1" applyBorder="1" applyFont="1">
      <alignment horizontal="center"/>
    </xf>
    <xf borderId="40" fillId="2" fontId="20" numFmtId="0" xfId="0" applyAlignment="1" applyBorder="1" applyFont="1">
      <alignment horizontal="center"/>
    </xf>
    <xf borderId="50" fillId="2" fontId="19" numFmtId="0" xfId="0" applyAlignment="1" applyBorder="1" applyFont="1">
      <alignment horizontal="center"/>
    </xf>
    <xf borderId="42" fillId="2" fontId="19" numFmtId="0" xfId="0" applyAlignment="1" applyBorder="1" applyFont="1">
      <alignment horizontal="center" readingOrder="0"/>
    </xf>
    <xf borderId="0" fillId="2" fontId="21" numFmtId="0" xfId="0" applyAlignment="1" applyFont="1">
      <alignment readingOrder="0" shrinkToFit="0" wrapText="1"/>
    </xf>
    <xf borderId="0" fillId="2" fontId="20" numFmtId="0" xfId="0" applyAlignment="1" applyFont="1">
      <alignment horizontal="center"/>
    </xf>
    <xf borderId="51" fillId="2" fontId="20" numFmtId="1" xfId="0" applyAlignment="1" applyBorder="1" applyFont="1" applyNumberFormat="1">
      <alignment horizontal="center"/>
    </xf>
    <xf borderId="46" fillId="2" fontId="20" numFmtId="1" xfId="0" applyAlignment="1" applyBorder="1" applyFont="1" applyNumberFormat="1">
      <alignment horizontal="center"/>
    </xf>
    <xf borderId="52" fillId="2" fontId="19" numFmtId="0" xfId="0" applyAlignment="1" applyBorder="1" applyFont="1">
      <alignment horizontal="center"/>
    </xf>
    <xf borderId="46" fillId="2" fontId="19" numFmtId="0" xfId="0" applyAlignment="1" applyBorder="1" applyFont="1">
      <alignment horizontal="center"/>
    </xf>
    <xf borderId="0" fillId="2" fontId="19" numFmtId="1" xfId="0" applyAlignment="1" applyFont="1" applyNumberFormat="1">
      <alignment horizontal="center" readingOrder="0"/>
    </xf>
    <xf borderId="44" fillId="2" fontId="19" numFmtId="0" xfId="0" applyAlignment="1" applyBorder="1" applyFont="1">
      <alignment horizontal="center"/>
    </xf>
    <xf borderId="46" fillId="0" fontId="22" numFmtId="0" xfId="0" applyBorder="1" applyFont="1"/>
    <xf borderId="46" fillId="2" fontId="21" numFmtId="0" xfId="0" applyAlignment="1" applyBorder="1" applyFont="1">
      <alignment horizontal="center"/>
    </xf>
    <xf borderId="46" fillId="2" fontId="20" numFmtId="4" xfId="0" applyAlignment="1" applyBorder="1" applyFont="1" applyNumberFormat="1">
      <alignment horizontal="center"/>
    </xf>
    <xf borderId="46" fillId="2" fontId="20" numFmtId="0" xfId="0" applyAlignment="1" applyBorder="1" applyFont="1">
      <alignment horizontal="center"/>
    </xf>
    <xf borderId="44" fillId="2" fontId="20" numFmtId="4" xfId="0" applyAlignment="1" applyBorder="1" applyFont="1" applyNumberFormat="1">
      <alignment horizontal="center"/>
    </xf>
    <xf borderId="49" fillId="2" fontId="19" numFmtId="0" xfId="0" applyAlignment="1" applyBorder="1" applyFont="1">
      <alignment readingOrder="0"/>
    </xf>
    <xf borderId="53" fillId="2" fontId="19" numFmtId="0" xfId="0" applyBorder="1" applyFont="1"/>
    <xf borderId="42" fillId="2" fontId="19" numFmtId="10" xfId="0" applyAlignment="1" applyBorder="1" applyFont="1" applyNumberFormat="1">
      <alignment readingOrder="0"/>
    </xf>
    <xf borderId="0" fillId="2" fontId="19" numFmtId="164" xfId="0" applyAlignment="1" applyFont="1" applyNumberFormat="1">
      <alignment readingOrder="0"/>
    </xf>
    <xf borderId="42" fillId="2" fontId="19" numFmtId="164" xfId="0" applyAlignment="1" applyBorder="1" applyFont="1" applyNumberFormat="1">
      <alignment readingOrder="0"/>
    </xf>
    <xf borderId="0" fillId="2" fontId="21" numFmtId="0" xfId="0" applyAlignment="1" applyFont="1">
      <alignment readingOrder="0"/>
    </xf>
    <xf borderId="0" fillId="2" fontId="21" numFmtId="0" xfId="0" applyFont="1"/>
    <xf borderId="44" fillId="2" fontId="19" numFmtId="164" xfId="0" applyBorder="1" applyFont="1" applyNumberFormat="1"/>
    <xf borderId="0" fillId="2" fontId="10" numFmtId="9" xfId="0" applyAlignment="1" applyFont="1" applyNumberFormat="1">
      <alignment horizontal="center" readingOrder="0"/>
    </xf>
    <xf borderId="0" fillId="2" fontId="11" numFmtId="0" xfId="0" applyAlignment="1" applyFont="1">
      <alignment horizontal="center"/>
    </xf>
    <xf borderId="41" fillId="2" fontId="20" numFmtId="0" xfId="0" applyAlignment="1" applyBorder="1" applyFont="1">
      <alignment horizontal="center" readingOrder="0"/>
    </xf>
    <xf borderId="41" fillId="2" fontId="19" numFmtId="0" xfId="0" applyAlignment="1" applyBorder="1" applyFont="1">
      <alignment horizontal="center"/>
    </xf>
    <xf borderId="43" fillId="2" fontId="20" numFmtId="1" xfId="0" applyAlignment="1" applyBorder="1" applyFont="1" applyNumberFormat="1">
      <alignment horizontal="center"/>
    </xf>
    <xf borderId="46" fillId="2" fontId="19" numFmtId="1" xfId="0" applyAlignment="1" applyBorder="1" applyFont="1" applyNumberFormat="1">
      <alignment horizontal="center"/>
    </xf>
    <xf borderId="44" fillId="2" fontId="19" numFmtId="1" xfId="0" applyAlignment="1" applyBorder="1" applyFont="1" applyNumberFormat="1">
      <alignment horizontal="center"/>
    </xf>
    <xf borderId="0" fillId="2" fontId="11" numFmtId="10" xfId="0" applyAlignment="1" applyFont="1" applyNumberFormat="1">
      <alignment horizontal="center"/>
    </xf>
    <xf borderId="0" fillId="2" fontId="10" numFmtId="1" xfId="0" applyAlignment="1" applyFont="1" applyNumberFormat="1">
      <alignment horizontal="center"/>
    </xf>
    <xf borderId="0" fillId="2" fontId="11" numFmtId="0" xfId="0" applyAlignment="1" applyFont="1">
      <alignment readingOrder="0" shrinkToFit="0" wrapText="1"/>
    </xf>
    <xf borderId="0" fillId="2" fontId="11" numFmtId="1" xfId="0" applyAlignment="1" applyFont="1" applyNumberFormat="1">
      <alignment horizontal="center"/>
    </xf>
    <xf borderId="0" fillId="2" fontId="11" numFmtId="4" xfId="0" applyFont="1" applyNumberFormat="1"/>
    <xf borderId="0" fillId="2" fontId="10" numFmtId="0" xfId="0" applyAlignment="1" applyFont="1">
      <alignment horizontal="center"/>
    </xf>
    <xf borderId="18" fillId="2" fontId="11" numFmtId="0" xfId="0" applyAlignment="1" applyBorder="1" applyFont="1">
      <alignment horizontal="center" readingOrder="0"/>
    </xf>
    <xf borderId="54" fillId="2" fontId="10" numFmtId="4" xfId="0" applyAlignment="1" applyBorder="1" applyFont="1" applyNumberFormat="1">
      <alignment horizontal="center"/>
    </xf>
    <xf borderId="55" fillId="2" fontId="15" numFmtId="4" xfId="0" applyAlignment="1" applyBorder="1" applyFont="1" applyNumberFormat="1">
      <alignment horizontal="center"/>
    </xf>
    <xf borderId="54" fillId="2" fontId="16" numFmtId="4" xfId="0" applyAlignment="1" applyBorder="1" applyFont="1" applyNumberFormat="1">
      <alignment horizontal="center"/>
    </xf>
    <xf borderId="0" fillId="2" fontId="11" numFmtId="10" xfId="0" applyFont="1" applyNumberFormat="1"/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2" fontId="11" numFmtId="0" xfId="0" applyAlignment="1" applyFont="1">
      <alignment shrinkToFit="0" wrapText="1"/>
    </xf>
    <xf borderId="0" fillId="2" fontId="12" numFmtId="0" xfId="0" applyAlignment="1" applyFont="1">
      <alignment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2" fontId="6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2" fontId="12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24" numFmtId="0" xfId="0" applyAlignment="1" applyFont="1">
      <alignment horizontal="center" readingOrder="0"/>
    </xf>
    <xf borderId="0" fillId="2" fontId="12" numFmtId="0" xfId="0" applyAlignment="1" applyFont="1">
      <alignment horizontal="center"/>
    </xf>
    <xf borderId="1" fillId="2" fontId="25" numFmtId="0" xfId="0" applyAlignment="1" applyBorder="1" applyFont="1">
      <alignment horizontal="center" readingOrder="0"/>
    </xf>
    <xf borderId="6" fillId="2" fontId="26" numFmtId="0" xfId="0" applyBorder="1" applyFont="1"/>
    <xf borderId="6" fillId="2" fontId="26" numFmtId="0" xfId="0" applyAlignment="1" applyBorder="1" applyFont="1">
      <alignment readingOrder="0"/>
    </xf>
    <xf borderId="6" fillId="2" fontId="11" numFmtId="0" xfId="0" applyBorder="1" applyFont="1"/>
    <xf borderId="56" fillId="2" fontId="26" numFmtId="0" xfId="0" applyAlignment="1" applyBorder="1" applyFont="1">
      <alignment readingOrder="0"/>
    </xf>
    <xf borderId="0" fillId="2" fontId="26" numFmtId="0" xfId="0" applyAlignment="1" applyFont="1">
      <alignment readingOrder="0"/>
    </xf>
    <xf borderId="0" fillId="2" fontId="25" numFmtId="0" xfId="0" applyAlignment="1" applyFont="1">
      <alignment horizontal="center" readingOrder="0"/>
    </xf>
    <xf borderId="0" fillId="2" fontId="10" numFmtId="0" xfId="0" applyAlignment="1" applyFont="1">
      <alignment horizontal="center" readingOrder="0"/>
    </xf>
    <xf borderId="56" fillId="2" fontId="26" numFmtId="0" xfId="0" applyBorder="1" applyFont="1"/>
    <xf borderId="0" fillId="2" fontId="27" numFmtId="0" xfId="0" applyAlignment="1" applyFont="1">
      <alignment horizontal="center"/>
    </xf>
    <xf borderId="1" fillId="2" fontId="28" numFmtId="0" xfId="0" applyAlignment="1" applyBorder="1" applyFont="1">
      <alignment horizontal="center" readingOrder="0"/>
    </xf>
    <xf borderId="6" fillId="2" fontId="29" numFmtId="0" xfId="0" applyAlignment="1" applyBorder="1" applyFont="1">
      <alignment readingOrder="0"/>
    </xf>
    <xf borderId="6" fillId="2" fontId="29" numFmtId="0" xfId="0" applyBorder="1" applyFont="1"/>
    <xf borderId="56" fillId="2" fontId="29" numFmtId="0" xfId="0" applyAlignment="1" applyBorder="1" applyFont="1">
      <alignment readingOrder="0"/>
    </xf>
    <xf borderId="0" fillId="2" fontId="29" numFmtId="0" xfId="0" applyAlignment="1" applyFont="1">
      <alignment readingOrder="0"/>
    </xf>
    <xf borderId="0" fillId="2" fontId="28" numFmtId="0" xfId="0" applyAlignment="1" applyFont="1">
      <alignment horizontal="center" readingOrder="0"/>
    </xf>
    <xf borderId="56" fillId="2" fontId="29" numFmtId="0" xfId="0" applyBorder="1" applyFont="1"/>
    <xf borderId="0" fillId="2" fontId="29" numFmtId="10" xfId="0" applyAlignment="1" applyFont="1" applyNumberFormat="1">
      <alignment readingOrder="0"/>
    </xf>
    <xf borderId="0" fillId="2" fontId="30" numFmtId="0" xfId="0" applyAlignment="1" applyFont="1">
      <alignment horizontal="center"/>
    </xf>
    <xf borderId="1" fillId="2" fontId="31" numFmtId="0" xfId="0" applyAlignment="1" applyBorder="1" applyFont="1">
      <alignment horizontal="center" readingOrder="0"/>
    </xf>
    <xf borderId="6" fillId="2" fontId="32" numFmtId="0" xfId="0" applyAlignment="1" applyBorder="1" applyFont="1">
      <alignment readingOrder="0"/>
    </xf>
    <xf borderId="6" fillId="2" fontId="32" numFmtId="0" xfId="0" applyBorder="1" applyFont="1"/>
    <xf borderId="56" fillId="2" fontId="32" numFmtId="0" xfId="0" applyAlignment="1" applyBorder="1" applyFont="1">
      <alignment readingOrder="0"/>
    </xf>
    <xf borderId="0" fillId="2" fontId="32" numFmtId="0" xfId="0" applyAlignment="1" applyFont="1">
      <alignment readingOrder="0"/>
    </xf>
    <xf borderId="0" fillId="2" fontId="31" numFmtId="0" xfId="0" applyAlignment="1" applyFont="1">
      <alignment horizontal="center" readingOrder="0"/>
    </xf>
    <xf borderId="0" fillId="2" fontId="33" numFmtId="0" xfId="0" applyAlignment="1" applyFont="1">
      <alignment horizontal="center"/>
    </xf>
    <xf borderId="1" fillId="2" fontId="34" numFmtId="0" xfId="0" applyAlignment="1" applyBorder="1" applyFont="1">
      <alignment horizontal="center" readingOrder="0"/>
    </xf>
    <xf borderId="6" fillId="2" fontId="35" numFmtId="0" xfId="0" applyAlignment="1" applyBorder="1" applyFont="1">
      <alignment readingOrder="0"/>
    </xf>
    <xf borderId="6" fillId="2" fontId="35" numFmtId="0" xfId="0" applyBorder="1" applyFont="1"/>
    <xf borderId="56" fillId="2" fontId="35" numFmtId="0" xfId="0" applyAlignment="1" applyBorder="1" applyFont="1">
      <alignment readingOrder="0"/>
    </xf>
    <xf borderId="0" fillId="2" fontId="35" numFmtId="0" xfId="0" applyAlignment="1" applyFont="1">
      <alignment readingOrder="0"/>
    </xf>
    <xf borderId="0" fillId="2" fontId="34" numFmtId="0" xfId="0" applyAlignment="1" applyFont="1">
      <alignment horizontal="center" readingOrder="0"/>
    </xf>
    <xf borderId="0" fillId="2" fontId="36" numFmtId="0" xfId="0" applyAlignment="1" applyFont="1">
      <alignment horizontal="center"/>
    </xf>
    <xf borderId="46" fillId="2" fontId="11" numFmtId="0" xfId="0" applyAlignment="1" applyBorder="1" applyFont="1">
      <alignment readingOrder="0"/>
    </xf>
    <xf borderId="46" fillId="2" fontId="11" numFmtId="0" xfId="0" applyBorder="1" applyFont="1"/>
    <xf borderId="42" fillId="2" fontId="11" numFmtId="0" xfId="0" applyAlignment="1" applyBorder="1" applyFont="1">
      <alignment readingOrder="0"/>
    </xf>
    <xf borderId="0" fillId="2" fontId="11" numFmtId="0" xfId="0" applyAlignment="1" applyFont="1">
      <alignment horizontal="center" readingOrder="0"/>
    </xf>
    <xf borderId="0" fillId="2" fontId="37" numFmtId="0" xfId="0" applyAlignment="1" applyFont="1">
      <alignment vertical="bottom"/>
    </xf>
    <xf borderId="0" fillId="2" fontId="38" numFmtId="0" xfId="0" applyAlignment="1" applyFont="1">
      <alignment readingOrder="0" vertical="bottom"/>
    </xf>
    <xf borderId="0" fillId="2" fontId="39" numFmtId="9" xfId="0" applyAlignment="1" applyFont="1" applyNumberFormat="1">
      <alignment horizontal="center"/>
    </xf>
    <xf borderId="0" fillId="2" fontId="37" numFmtId="0" xfId="0" applyAlignment="1" applyFont="1">
      <alignment horizontal="right" vertical="bottom"/>
    </xf>
    <xf borderId="0" fillId="2" fontId="37" numFmtId="0" xfId="0" applyAlignment="1" applyFont="1">
      <alignment horizontal="center" vertical="bottom"/>
    </xf>
    <xf borderId="0" fillId="2" fontId="37" numFmtId="0" xfId="0" applyAlignment="1" applyFont="1">
      <alignment horizontal="right" readingOrder="0" vertical="bottom"/>
    </xf>
    <xf borderId="0" fillId="2" fontId="11" numFmtId="9" xfId="0" applyAlignment="1" applyFont="1" applyNumberFormat="1">
      <alignment horizontal="center" readingOrder="0"/>
    </xf>
    <xf borderId="0" fillId="2" fontId="8" numFmtId="9" xfId="0" applyAlignment="1" applyFont="1" applyNumberFormat="1">
      <alignment vertical="bottom"/>
    </xf>
    <xf borderId="0" fillId="2" fontId="11" numFmtId="1" xfId="0" applyAlignment="1" applyFont="1" applyNumberFormat="1">
      <alignment horizontal="center" readingOrder="0"/>
    </xf>
    <xf borderId="0" fillId="2" fontId="11" numFmtId="1" xfId="0" applyAlignment="1" applyFont="1" applyNumberFormat="1">
      <alignment horizontal="center" readingOrder="0"/>
    </xf>
    <xf borderId="0" fillId="2" fontId="11" numFmtId="9" xfId="0" applyFont="1" applyNumberFormat="1"/>
    <xf borderId="0" fillId="2" fontId="11" numFmtId="4" xfId="0" applyAlignment="1" applyFont="1" applyNumberFormat="1">
      <alignment readingOrder="0"/>
    </xf>
    <xf borderId="8" fillId="2" fontId="11" numFmtId="0" xfId="0" applyBorder="1" applyFont="1"/>
    <xf borderId="10" fillId="2" fontId="11" numFmtId="0" xfId="0" applyBorder="1" applyFont="1"/>
    <xf borderId="0" fillId="2" fontId="11" numFmtId="0" xfId="0" applyAlignment="1" applyFont="1">
      <alignment horizontal="center" readingOrder="0" shrinkToFit="0" wrapText="1"/>
    </xf>
    <xf borderId="16" fillId="2" fontId="11" numFmtId="0" xfId="0" applyAlignment="1" applyBorder="1" applyFont="1">
      <alignment readingOrder="0" shrinkToFit="0" wrapText="1"/>
    </xf>
    <xf borderId="0" fillId="2" fontId="11" numFmtId="9" xfId="0" applyAlignment="1" applyFont="1" applyNumberFormat="1">
      <alignment readingOrder="0"/>
    </xf>
    <xf borderId="15" fillId="2" fontId="11" numFmtId="0" xfId="0" applyAlignment="1" applyBorder="1" applyFont="1">
      <alignment horizontal="center"/>
    </xf>
    <xf borderId="16" fillId="2" fontId="11" numFmtId="9" xfId="0" applyAlignment="1" applyBorder="1" applyFont="1" applyNumberFormat="1">
      <alignment readingOrder="0"/>
    </xf>
    <xf borderId="15" fillId="2" fontId="11" numFmtId="0" xfId="0" applyBorder="1" applyFont="1"/>
    <xf borderId="37" fillId="2" fontId="19" numFmtId="0" xfId="0" applyAlignment="1" applyBorder="1" applyFont="1">
      <alignment horizontal="center" readingOrder="0"/>
    </xf>
    <xf borderId="57" fillId="2" fontId="11" numFmtId="0" xfId="0" applyAlignment="1" applyBorder="1" applyFont="1">
      <alignment readingOrder="0"/>
    </xf>
    <xf borderId="34" fillId="2" fontId="11" numFmtId="0" xfId="0" applyBorder="1" applyFont="1"/>
    <xf borderId="57" fillId="2" fontId="11" numFmtId="0" xfId="0" applyBorder="1" applyFont="1"/>
    <xf borderId="58" fillId="2" fontId="11" numFmtId="0" xfId="0" applyBorder="1" applyFont="1"/>
    <xf borderId="0" fillId="2" fontId="11" numFmtId="0" xfId="0" applyAlignment="1" applyFont="1">
      <alignment readingOrder="0"/>
    </xf>
    <xf borderId="41" fillId="2" fontId="11" numFmtId="9" xfId="0" applyAlignment="1" applyBorder="1" applyFont="1" applyNumberFormat="1">
      <alignment horizontal="center" readingOrder="0"/>
    </xf>
    <xf borderId="59" fillId="2" fontId="11" numFmtId="9" xfId="0" applyAlignment="1" applyBorder="1" applyFont="1" applyNumberFormat="1">
      <alignment horizontal="center" readingOrder="0"/>
    </xf>
    <xf borderId="0" fillId="2" fontId="11" numFmtId="9" xfId="0" applyAlignment="1" applyFont="1" applyNumberFormat="1">
      <alignment horizontal="center" readingOrder="0"/>
    </xf>
    <xf borderId="59" fillId="2" fontId="11" numFmtId="9" xfId="0" applyAlignment="1" applyBorder="1" applyFont="1" applyNumberFormat="1">
      <alignment horizontal="center" readingOrder="0"/>
    </xf>
    <xf borderId="60" fillId="2" fontId="11" numFmtId="9" xfId="0" applyAlignment="1" applyBorder="1" applyFont="1" applyNumberFormat="1">
      <alignment horizontal="center" readingOrder="0"/>
    </xf>
    <xf borderId="0" fillId="2" fontId="11" numFmtId="9" xfId="0" applyAlignment="1" applyFont="1" applyNumberFormat="1">
      <alignment horizontal="center" readingOrder="0"/>
    </xf>
    <xf borderId="0" fillId="2" fontId="11" numFmtId="0" xfId="0" applyAlignment="1" applyFont="1">
      <alignment horizontal="right" readingOrder="0"/>
    </xf>
    <xf borderId="57" fillId="2" fontId="19" numFmtId="0" xfId="0" applyAlignment="1" applyBorder="1" applyFont="1">
      <alignment horizontal="center" readingOrder="0"/>
    </xf>
    <xf borderId="43" fillId="2" fontId="10" numFmtId="10" xfId="0" applyAlignment="1" applyBorder="1" applyFont="1" applyNumberFormat="1">
      <alignment horizontal="center"/>
    </xf>
    <xf borderId="61" fillId="2" fontId="11" numFmtId="9" xfId="0" applyAlignment="1" applyBorder="1" applyFont="1" applyNumberFormat="1">
      <alignment horizontal="center"/>
    </xf>
    <xf borderId="46" fillId="2" fontId="11" numFmtId="0" xfId="0" applyBorder="1" applyFont="1"/>
    <xf borderId="61" fillId="2" fontId="11" numFmtId="0" xfId="0" applyBorder="1" applyFont="1"/>
    <xf borderId="62" fillId="2" fontId="11" numFmtId="0" xfId="0" applyBorder="1" applyFont="1"/>
    <xf borderId="18" fillId="2" fontId="11" numFmtId="0" xfId="0" applyBorder="1" applyFont="1"/>
    <xf borderId="54" fillId="2" fontId="11" numFmtId="0" xfId="0" applyBorder="1" applyFont="1"/>
    <xf borderId="63" fillId="2" fontId="11" numFmtId="0" xfId="0" applyAlignment="1" applyBorder="1" applyFont="1">
      <alignment readingOrder="0"/>
    </xf>
    <xf borderId="6" fillId="2" fontId="11" numFmtId="0" xfId="0" applyAlignment="1" applyBorder="1" applyFont="1">
      <alignment horizontal="center" readingOrder="0"/>
    </xf>
    <xf borderId="56" fillId="2" fontId="11" numFmtId="0" xfId="0" applyAlignment="1" applyBorder="1" applyFont="1">
      <alignment readingOrder="0"/>
    </xf>
    <xf borderId="0" fillId="2" fontId="11" numFmtId="165" xfId="0" applyFont="1" applyNumberFormat="1"/>
    <xf borderId="64" fillId="2" fontId="11" numFmtId="0" xfId="0" applyAlignment="1" applyBorder="1" applyFont="1">
      <alignment readingOrder="0"/>
    </xf>
    <xf borderId="64" fillId="2" fontId="11" numFmtId="0" xfId="0" applyAlignment="1" applyBorder="1" applyFont="1">
      <alignment horizontal="center" readingOrder="0"/>
    </xf>
    <xf borderId="65" fillId="2" fontId="11" numFmtId="0" xfId="0" applyAlignment="1" applyBorder="1" applyFont="1">
      <alignment readingOrder="0"/>
    </xf>
    <xf borderId="66" fillId="2" fontId="11" numFmtId="9" xfId="0" applyAlignment="1" applyBorder="1" applyFont="1" applyNumberFormat="1">
      <alignment readingOrder="0"/>
    </xf>
    <xf borderId="0" fillId="2" fontId="11" numFmtId="2" xfId="0" applyFont="1" applyNumberFormat="1"/>
    <xf borderId="67" fillId="2" fontId="11" numFmtId="0" xfId="0" applyAlignment="1" applyBorder="1" applyFont="1">
      <alignment readingOrder="0"/>
    </xf>
    <xf borderId="68" fillId="2" fontId="11" numFmtId="9" xfId="0" applyAlignment="1" applyBorder="1" applyFont="1" applyNumberFormat="1">
      <alignment readingOrder="0"/>
    </xf>
    <xf borderId="64" fillId="2" fontId="11" numFmtId="0" xfId="0" applyBorder="1" applyFont="1"/>
    <xf borderId="0" fillId="2" fontId="11" numFmtId="167" xfId="0" applyAlignment="1" applyFont="1" applyNumberFormat="1">
      <alignment readingOrder="0"/>
    </xf>
    <xf borderId="0" fillId="2" fontId="11" numFmtId="20" xfId="0" applyAlignment="1" applyFont="1" applyNumberFormat="1">
      <alignment readingOrder="0"/>
    </xf>
    <xf borderId="0" fillId="2" fontId="11" numFmtId="1" xfId="0" applyAlignment="1" applyFont="1" applyNumberFormat="1">
      <alignment readingOrder="0"/>
    </xf>
    <xf borderId="69" fillId="2" fontId="11" numFmtId="0" xfId="0" applyBorder="1" applyFont="1"/>
    <xf borderId="27" fillId="2" fontId="11" numFmtId="0" xfId="0" applyBorder="1" applyFont="1"/>
    <xf borderId="28" fillId="2" fontId="11" numFmtId="0" xfId="0" applyBorder="1" applyFont="1"/>
    <xf borderId="0" fillId="2" fontId="32" numFmtId="0" xfId="0" applyFont="1"/>
    <xf borderId="0" fillId="2" fontId="17" numFmtId="0" xfId="0" applyFont="1"/>
    <xf borderId="0" fillId="2" fontId="17" numFmtId="0" xfId="0" applyAlignment="1" applyFont="1">
      <alignment readingOrder="0"/>
    </xf>
    <xf borderId="0" fillId="2" fontId="32" numFmtId="0" xfId="0" applyAlignment="1" applyFont="1">
      <alignment horizontal="center" readingOrder="0"/>
    </xf>
    <xf borderId="0" fillId="2" fontId="17" numFmtId="0" xfId="0" applyAlignment="1" applyFont="1">
      <alignment horizontal="center" readingOrder="0"/>
    </xf>
    <xf borderId="0" fillId="2" fontId="12" numFmtId="10" xfId="0" applyFont="1" applyNumberFormat="1"/>
    <xf borderId="0" fillId="2" fontId="32" numFmtId="10" xfId="0" applyFont="1" applyNumberFormat="1"/>
    <xf borderId="0" fillId="2" fontId="17" numFmtId="10" xfId="0" applyFont="1" applyNumberFormat="1"/>
    <xf borderId="70" fillId="2" fontId="12" numFmtId="0" xfId="0" applyBorder="1" applyFont="1"/>
    <xf borderId="71" fillId="2" fontId="12" numFmtId="0" xfId="0" applyBorder="1" applyFont="1"/>
    <xf borderId="72" fillId="2" fontId="12" numFmtId="0" xfId="0" applyBorder="1" applyFont="1"/>
    <xf borderId="73" fillId="2" fontId="12" numFmtId="0" xfId="0" applyAlignment="1" applyBorder="1" applyFont="1">
      <alignment horizontal="center" readingOrder="0"/>
    </xf>
    <xf borderId="74" fillId="2" fontId="1" numFmtId="0" xfId="0" applyBorder="1" applyFont="1"/>
    <xf borderId="63" fillId="2" fontId="13" numFmtId="0" xfId="0" applyAlignment="1" applyBorder="1" applyFont="1">
      <alignment readingOrder="0"/>
    </xf>
    <xf borderId="6" fillId="2" fontId="12" numFmtId="0" xfId="0" applyAlignment="1" applyBorder="1" applyFont="1">
      <alignment horizontal="center" readingOrder="0"/>
    </xf>
    <xf borderId="7" fillId="2" fontId="12" numFmtId="0" xfId="0" applyAlignment="1" applyBorder="1" applyFont="1">
      <alignment horizontal="center" readingOrder="0"/>
    </xf>
    <xf borderId="63" fillId="2" fontId="40" numFmtId="0" xfId="0" applyAlignment="1" applyBorder="1" applyFont="1">
      <alignment readingOrder="0"/>
    </xf>
    <xf borderId="73" fillId="2" fontId="12" numFmtId="0" xfId="0" applyAlignment="1" applyBorder="1" applyFont="1">
      <alignment horizontal="center"/>
    </xf>
    <xf borderId="56" fillId="2" fontId="12" numFmtId="0" xfId="0" applyAlignment="1" applyBorder="1" applyFont="1">
      <alignment readingOrder="0"/>
    </xf>
    <xf borderId="0" fillId="2" fontId="13" numFmtId="0" xfId="0" applyAlignment="1" applyFont="1">
      <alignment horizontal="center" readingOrder="0"/>
    </xf>
    <xf borderId="14" fillId="2" fontId="13" numFmtId="0" xfId="0" applyAlignment="1" applyBorder="1" applyFont="1">
      <alignment horizontal="center" readingOrder="0"/>
    </xf>
    <xf borderId="73" fillId="2" fontId="12" numFmtId="0" xfId="0" applyBorder="1" applyFont="1"/>
    <xf borderId="74" fillId="2" fontId="12" numFmtId="0" xfId="0" applyAlignment="1" applyBorder="1" applyFont="1">
      <alignment readingOrder="0"/>
    </xf>
    <xf borderId="69" fillId="2" fontId="12" numFmtId="0" xfId="0" applyAlignment="1" applyBorder="1" applyFont="1">
      <alignment readingOrder="0"/>
    </xf>
    <xf borderId="27" fillId="2" fontId="41" numFmtId="0" xfId="0" applyAlignment="1" applyBorder="1" applyFont="1">
      <alignment horizontal="center" readingOrder="0"/>
    </xf>
    <xf borderId="28" fillId="2" fontId="41" numFmtId="0" xfId="0" applyAlignment="1" applyBorder="1" applyFont="1">
      <alignment horizontal="center" readingOrder="0"/>
    </xf>
    <xf borderId="0" fillId="2" fontId="41" numFmtId="0" xfId="0" applyAlignment="1" applyFont="1">
      <alignment horizontal="center" readingOrder="0"/>
    </xf>
    <xf borderId="74" fillId="2" fontId="12" numFmtId="0" xfId="0" applyAlignment="1" applyBorder="1" applyFont="1">
      <alignment horizontal="center" readingOrder="0"/>
    </xf>
    <xf borderId="0" fillId="2" fontId="12" numFmtId="1" xfId="0" applyAlignment="1" applyFont="1" applyNumberFormat="1">
      <alignment horizontal="center" readingOrder="0"/>
    </xf>
    <xf borderId="0" fillId="2" fontId="42" numFmtId="1" xfId="0" applyAlignment="1" applyFont="1" applyNumberFormat="1">
      <alignment readingOrder="0"/>
    </xf>
    <xf borderId="0" fillId="2" fontId="12" numFmtId="1" xfId="0" applyAlignment="1" applyFont="1" applyNumberFormat="1">
      <alignment readingOrder="0"/>
    </xf>
    <xf borderId="0" fillId="2" fontId="12" numFmtId="1" xfId="0" applyAlignment="1" applyFont="1" applyNumberFormat="1">
      <alignment horizontal="center"/>
    </xf>
    <xf borderId="0" fillId="2" fontId="42" numFmtId="1" xfId="0" applyFont="1" applyNumberFormat="1"/>
    <xf borderId="75" fillId="2" fontId="12" numFmtId="0" xfId="0" applyAlignment="1" applyBorder="1" applyFont="1">
      <alignment readingOrder="0"/>
    </xf>
    <xf borderId="75" fillId="2" fontId="12" numFmtId="1" xfId="0" applyAlignment="1" applyBorder="1" applyFont="1" applyNumberFormat="1">
      <alignment horizontal="center"/>
    </xf>
    <xf borderId="75" fillId="2" fontId="42" numFmtId="1" xfId="0" applyBorder="1" applyFont="1" applyNumberFormat="1"/>
    <xf borderId="75" fillId="2" fontId="12" numFmtId="1" xfId="0" applyAlignment="1" applyBorder="1" applyFont="1" applyNumberFormat="1">
      <alignment horizontal="center" readingOrder="0"/>
    </xf>
    <xf borderId="73" fillId="2" fontId="1" numFmtId="0" xfId="0" applyBorder="1" applyFont="1"/>
    <xf borderId="0" fillId="2" fontId="43" numFmtId="0" xfId="0" applyAlignment="1" applyFont="1">
      <alignment readingOrder="0"/>
    </xf>
    <xf borderId="0" fillId="2" fontId="43" numFmtId="1" xfId="0" applyAlignment="1" applyFont="1" applyNumberFormat="1">
      <alignment horizontal="center"/>
    </xf>
    <xf borderId="0" fillId="2" fontId="25" numFmtId="1" xfId="0" applyAlignment="1" applyFont="1" applyNumberFormat="1">
      <alignment horizontal="center" readingOrder="0"/>
    </xf>
    <xf borderId="73" fillId="2" fontId="12" numFmtId="0" xfId="0" applyAlignment="1" applyBorder="1" applyFont="1">
      <alignment readingOrder="0"/>
    </xf>
    <xf borderId="74" fillId="2" fontId="13" numFmtId="0" xfId="0" applyAlignment="1" applyBorder="1" applyFont="1">
      <alignment horizontal="center" readingOrder="0"/>
    </xf>
    <xf borderId="76" fillId="2" fontId="12" numFmtId="0" xfId="0" applyBorder="1" applyFont="1"/>
    <xf borderId="77" fillId="2" fontId="12" numFmtId="0" xfId="0" applyBorder="1" applyFont="1"/>
    <xf borderId="77" fillId="2" fontId="12" numFmtId="0" xfId="0" applyAlignment="1" applyBorder="1" applyFont="1">
      <alignment horizontal="center" readingOrder="0"/>
    </xf>
    <xf borderId="78" fillId="2" fontId="12" numFmtId="0" xfId="0" applyAlignment="1" applyBorder="1" applyFont="1">
      <alignment horizontal="center" readingOrder="0"/>
    </xf>
    <xf borderId="70" fillId="2" fontId="12" numFmtId="0" xfId="0" applyAlignment="1" applyBorder="1" applyFont="1">
      <alignment readingOrder="0"/>
    </xf>
    <xf borderId="72" fillId="2" fontId="12" numFmtId="0" xfId="0" applyAlignment="1" applyBorder="1" applyFont="1">
      <alignment horizontal="center" readingOrder="0"/>
    </xf>
    <xf borderId="74" fillId="2" fontId="12" numFmtId="0" xfId="0" applyAlignment="1" applyBorder="1" applyFont="1">
      <alignment horizontal="center"/>
    </xf>
    <xf borderId="76" fillId="2" fontId="12" numFmtId="0" xfId="0" applyAlignment="1" applyBorder="1" applyFont="1">
      <alignment readingOrder="0"/>
    </xf>
    <xf borderId="6" fillId="2" fontId="1" numFmtId="0" xfId="0" applyBorder="1" applyFont="1"/>
    <xf borderId="79" fillId="2" fontId="16" numFmtId="0" xfId="0" applyAlignment="1" applyBorder="1" applyFont="1">
      <alignment readingOrder="0"/>
    </xf>
    <xf borderId="80" fillId="2" fontId="44" numFmtId="0" xfId="0" applyBorder="1" applyFont="1"/>
    <xf borderId="81" fillId="2" fontId="44" numFmtId="0" xfId="0" applyBorder="1" applyFont="1"/>
    <xf borderId="82" fillId="2" fontId="44" numFmtId="0" xfId="0" applyAlignment="1" applyBorder="1" applyFont="1">
      <alignment readingOrder="0"/>
    </xf>
    <xf borderId="0" fillId="2" fontId="44" numFmtId="0" xfId="0" applyAlignment="1" applyFont="1">
      <alignment readingOrder="0"/>
    </xf>
    <xf borderId="0" fillId="2" fontId="44" numFmtId="0" xfId="0" applyAlignment="1" applyFont="1">
      <alignment horizontal="center"/>
    </xf>
    <xf borderId="83" fillId="2" fontId="44" numFmtId="0" xfId="0" applyAlignment="1" applyBorder="1" applyFont="1">
      <alignment horizontal="center"/>
    </xf>
    <xf borderId="83" fillId="2" fontId="44" numFmtId="0" xfId="0" applyAlignment="1" applyBorder="1" applyFont="1">
      <alignment horizontal="center" readingOrder="0"/>
    </xf>
    <xf borderId="0" fillId="2" fontId="9" numFmtId="0" xfId="0" applyAlignment="1" applyFont="1">
      <alignment readingOrder="0"/>
    </xf>
    <xf borderId="0" fillId="2" fontId="45" numFmtId="1" xfId="0" applyAlignment="1" applyFont="1" applyNumberFormat="1">
      <alignment horizontal="center"/>
    </xf>
    <xf borderId="83" fillId="2" fontId="12" numFmtId="0" xfId="0" applyBorder="1" applyFont="1"/>
    <xf borderId="82" fillId="2" fontId="44" numFmtId="0" xfId="0" applyBorder="1" applyFont="1"/>
    <xf borderId="0" fillId="2" fontId="44" numFmtId="0" xfId="0" applyFont="1"/>
    <xf borderId="83" fillId="2" fontId="44" numFmtId="0" xfId="0" applyBorder="1" applyFont="1"/>
    <xf borderId="84" fillId="2" fontId="44" numFmtId="0" xfId="0" applyAlignment="1" applyBorder="1" applyFont="1">
      <alignment readingOrder="0"/>
    </xf>
    <xf borderId="85" fillId="2" fontId="44" numFmtId="10" xfId="0" applyAlignment="1" applyBorder="1" applyFont="1" applyNumberFormat="1">
      <alignment readingOrder="0"/>
    </xf>
    <xf borderId="85" fillId="2" fontId="44" numFmtId="0" xfId="0" applyBorder="1" applyFont="1"/>
    <xf borderId="86" fillId="2" fontId="44" numFmtId="0" xfId="0" applyBorder="1" applyFont="1"/>
    <xf borderId="0" fillId="2" fontId="46" numFmtId="0" xfId="0" applyAlignment="1" applyFont="1">
      <alignment readingOrder="0"/>
    </xf>
    <xf borderId="0" fillId="2" fontId="46" numFmtId="165" xfId="0" applyAlignment="1" applyFont="1" applyNumberFormat="1">
      <alignment horizontal="center"/>
    </xf>
    <xf borderId="0" fillId="2" fontId="46" numFmtId="0" xfId="0" applyFont="1"/>
    <xf borderId="0" fillId="2" fontId="46" numFmtId="0" xfId="0" applyAlignment="1" applyFont="1">
      <alignment horizontal="center" readingOrder="0"/>
    </xf>
    <xf borderId="87" fillId="2" fontId="12" numFmtId="0" xfId="0" applyAlignment="1" applyBorder="1" applyFont="1">
      <alignment horizontal="center" readingOrder="0"/>
    </xf>
    <xf borderId="88" fillId="2" fontId="12" numFmtId="0" xfId="0" applyAlignment="1" applyBorder="1" applyFont="1">
      <alignment horizontal="center" readingOrder="0"/>
    </xf>
    <xf borderId="0" fillId="2" fontId="6" numFmtId="0" xfId="0" applyAlignment="1" applyFont="1">
      <alignment horizontal="center"/>
    </xf>
    <xf borderId="89" fillId="2" fontId="46" numFmtId="9" xfId="0" applyAlignment="1" applyBorder="1" applyFont="1" applyNumberFormat="1">
      <alignment horizontal="center" readingOrder="0"/>
    </xf>
    <xf borderId="0" fillId="2" fontId="47" numFmtId="1" xfId="0" applyAlignment="1" applyFont="1" applyNumberFormat="1">
      <alignment horizontal="center"/>
    </xf>
    <xf borderId="90" fillId="2" fontId="48" numFmtId="1" xfId="0" applyAlignment="1" applyBorder="1" applyFont="1" applyNumberFormat="1">
      <alignment horizontal="center"/>
    </xf>
    <xf borderId="91" fillId="2" fontId="48" numFmtId="0" xfId="0" applyAlignment="1" applyBorder="1" applyFont="1">
      <alignment horizontal="center"/>
    </xf>
    <xf borderId="91" fillId="2" fontId="14" numFmtId="0" xfId="0" applyAlignment="1" applyBorder="1" applyFont="1">
      <alignment horizontal="center"/>
    </xf>
    <xf borderId="0" fillId="2" fontId="46" numFmtId="0" xfId="0" applyAlignment="1" applyFont="1">
      <alignment horizontal="center"/>
    </xf>
    <xf borderId="92" fillId="2" fontId="46" numFmtId="9" xfId="0" applyAlignment="1" applyBorder="1" applyFont="1" applyNumberFormat="1">
      <alignment horizontal="center" readingOrder="0"/>
    </xf>
    <xf borderId="93" fillId="2" fontId="46" numFmtId="9" xfId="0" applyAlignment="1" applyBorder="1" applyFont="1" applyNumberFormat="1">
      <alignment horizontal="center" readingOrder="0"/>
    </xf>
    <xf borderId="0" fillId="2" fontId="49" numFmtId="165" xfId="0" applyAlignment="1" applyFont="1" applyNumberFormat="1">
      <alignment horizontal="center"/>
    </xf>
    <xf borderId="94" fillId="2" fontId="11" numFmtId="0" xfId="0" applyAlignment="1" applyBorder="1" applyFont="1">
      <alignment horizontal="center" readingOrder="0"/>
    </xf>
    <xf borderId="95" fillId="2" fontId="11" numFmtId="0" xfId="0" applyAlignment="1" applyBorder="1" applyFont="1">
      <alignment horizontal="center" readingOrder="0"/>
    </xf>
    <xf borderId="22" fillId="2" fontId="11" numFmtId="0" xfId="0" applyAlignment="1" applyBorder="1" applyFont="1">
      <alignment readingOrder="0"/>
    </xf>
    <xf borderId="96" fillId="2" fontId="11" numFmtId="0" xfId="0" applyBorder="1" applyFont="1"/>
    <xf borderId="0" fillId="2" fontId="50" numFmtId="0" xfId="0" applyAlignment="1" applyFont="1">
      <alignment horizontal="center" readingOrder="0"/>
    </xf>
    <xf borderId="63" fillId="2" fontId="11" numFmtId="0" xfId="0" applyAlignment="1" applyBorder="1" applyFont="1">
      <alignment horizontal="center" readingOrder="0"/>
    </xf>
    <xf borderId="7" fillId="2" fontId="11" numFmtId="0" xfId="0" applyAlignment="1" applyBorder="1" applyFont="1">
      <alignment horizontal="center" readingOrder="0"/>
    </xf>
    <xf borderId="56" fillId="2" fontId="11" numFmtId="0" xfId="0" applyAlignment="1" applyBorder="1" applyFont="1">
      <alignment horizontal="center" readingOrder="0"/>
    </xf>
    <xf borderId="14" fillId="2" fontId="11" numFmtId="0" xfId="0" applyAlignment="1" applyBorder="1" applyFont="1">
      <alignment horizontal="center"/>
    </xf>
    <xf borderId="69" fillId="2" fontId="11" numFmtId="1" xfId="0" applyAlignment="1" applyBorder="1" applyFont="1" applyNumberFormat="1">
      <alignment horizontal="center" readingOrder="0"/>
    </xf>
    <xf borderId="27" fillId="2" fontId="11" numFmtId="1" xfId="0" applyAlignment="1" applyBorder="1" applyFont="1" applyNumberFormat="1">
      <alignment horizontal="center" readingOrder="0"/>
    </xf>
    <xf borderId="28" fillId="2" fontId="11" numFmtId="1" xfId="0" applyAlignment="1" applyBorder="1" applyFont="1" applyNumberFormat="1">
      <alignment horizontal="center" readingOrder="0"/>
    </xf>
    <xf borderId="24" fillId="2" fontId="11" numFmtId="0" xfId="0" applyBorder="1" applyFont="1"/>
    <xf borderId="0" fillId="2" fontId="38" numFmtId="0" xfId="0" applyAlignment="1" applyFont="1">
      <alignment vertical="bottom"/>
    </xf>
    <xf borderId="0" fillId="2" fontId="38" numFmtId="0" xfId="0" applyAlignment="1" applyFont="1">
      <alignment horizontal="right" vertical="bottom"/>
    </xf>
    <xf borderId="0" fillId="2" fontId="38" numFmtId="0" xfId="0" applyAlignment="1" applyFont="1">
      <alignment horizontal="center" readingOrder="0" vertical="bottom"/>
    </xf>
    <xf borderId="0" fillId="2" fontId="38" numFmtId="0" xfId="0" applyAlignment="1" applyFont="1">
      <alignment horizontal="right" readingOrder="0" vertical="bottom"/>
    </xf>
    <xf borderId="0" fillId="2" fontId="38" numFmtId="0" xfId="0" applyAlignment="1" applyFont="1">
      <alignment horizontal="center" vertical="bottom"/>
    </xf>
    <xf borderId="0" fillId="2" fontId="12" numFmtId="10" xfId="0" applyAlignment="1" applyFont="1" applyNumberFormat="1">
      <alignment horizontal="center"/>
    </xf>
    <xf borderId="0" fillId="2" fontId="38" numFmtId="9" xfId="0" applyAlignment="1" applyFont="1" applyNumberFormat="1">
      <alignment vertical="bottom"/>
    </xf>
    <xf borderId="0" fillId="2" fontId="12" numFmtId="46" xfId="0" applyFont="1" applyNumberFormat="1"/>
    <xf borderId="0" fillId="2" fontId="12" numFmtId="168" xfId="0" applyFont="1" applyNumberFormat="1"/>
    <xf borderId="27" fillId="2" fontId="11" numFmtId="0" xfId="0" applyAlignment="1" applyBorder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274E13"/>
          <bgColor rgb="FF274E13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434343"/>
          <bgColor rgb="FF434343"/>
        </patternFill>
      </fill>
      <border/>
    </dxf>
  </dxfs>
  <tableStyles count="3">
    <tableStyle count="4" pivot="0" name="Heroe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Hero meta ranking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2" pivot="0" name="Hidden Mechanics-style"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DPS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v>Selected Hero</c:v>
          </c:tx>
          <c:spPr>
            <a:ln cmpd="sng">
              <a:solidFill>
                <a:srgbClr val="9FC5E8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FC5E8">
                  <a:alpha val="100000"/>
                </a:srgbClr>
              </a:solidFill>
              <a:ln cmpd="sng">
                <a:solidFill>
                  <a:srgbClr val="9FC5E8">
                    <a:alpha val="100000"/>
                  </a:srgbClr>
                </a:solidFill>
              </a:ln>
            </c:spPr>
          </c:marker>
          <c:dLbls>
            <c:numFmt formatCode="0.0" sourceLinked="0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'Damage Comparison'!$H$3:$H$33</c:f>
            </c:strRef>
          </c:cat>
          <c:val>
            <c:numRef>
              <c:f>'Damage Comparison'!$J$3:$J$33</c:f>
              <c:numCache/>
            </c:numRef>
          </c:val>
          <c:smooth val="1"/>
        </c:ser>
        <c:ser>
          <c:idx val="2"/>
          <c:order val="2"/>
          <c:tx>
            <c:v>Comparable High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dLbls>
            <c:numFmt formatCode="0.0" sourceLinked="0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'Damage Comparison'!$H$3:$H$33</c:f>
            </c:strRef>
          </c:cat>
          <c:val>
            <c:numRef>
              <c:f>'Damage Comparison'!$O$3:$O$33</c:f>
              <c:numCache/>
            </c:numRef>
          </c:val>
          <c:smooth val="1"/>
        </c:ser>
        <c:axId val="17240937"/>
        <c:axId val="1742698013"/>
      </c:lineChart>
      <c:catAx>
        <c:axId val="172409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Boons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42698013"/>
      </c:catAx>
      <c:valAx>
        <c:axId val="1742698013"/>
        <c:scaling>
          <c:orientation val="minMax"/>
          <c:max val="1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DPS</a:t>
                </a:r>
              </a:p>
            </c:rich>
          </c:tx>
          <c:overlay val="0"/>
        </c:title>
        <c:numFmt formatCode="0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24093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no shred</c:v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none"/>
          </c:marker>
          <c:val>
            <c:numRef>
              <c:f>haze!$J$3:$J$82</c:f>
              <c:numCache/>
            </c:numRef>
          </c:val>
          <c:smooth val="0"/>
        </c:ser>
        <c:ser>
          <c:idx val="1"/>
          <c:order val="1"/>
          <c:tx>
            <c:v>total dps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haze!$K$3:$K$82</c:f>
              <c:numCache/>
            </c:numRef>
          </c:val>
          <c:smooth val="0"/>
        </c:ser>
        <c:ser>
          <c:idx val="2"/>
          <c:order val="2"/>
          <c:tx>
            <c:v>no weapon dmg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haze!$L$3:$L$82</c:f>
              <c:numCache/>
            </c:numRef>
          </c:val>
          <c:smooth val="0"/>
        </c:ser>
        <c:ser>
          <c:idx val="3"/>
          <c:order val="3"/>
          <c:tx>
            <c:v>no fire rate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haze!$M$3:$M$82</c:f>
              <c:numCache/>
            </c:numRef>
          </c:val>
          <c:smooth val="0"/>
        </c:ser>
        <c:ser>
          <c:idx val="4"/>
          <c:order val="4"/>
          <c:tx>
            <c:v>no stats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haze!$N$3:$N$82</c:f>
              <c:numCache/>
            </c:numRef>
          </c:val>
          <c:smooth val="0"/>
        </c:ser>
        <c:axId val="1186191617"/>
        <c:axId val="852268604"/>
      </c:lineChart>
      <c:catAx>
        <c:axId val="1186191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shred dmg add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52268604"/>
      </c:catAx>
      <c:valAx>
        <c:axId val="852268604"/>
        <c:scaling>
          <c:orientation val="minMax"/>
        </c:scaling>
        <c:delete val="0"/>
        <c:axPos val="l"/>
        <c:majorGridlines>
          <c:spPr>
            <a:ln>
              <a:solidFill>
                <a:srgbClr val="9999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DPS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18619161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0</xdr:row>
      <xdr:rowOff>0</xdr:rowOff>
    </xdr:from>
    <xdr:ext cx="12468225" cy="7115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209550</xdr:colOff>
      <xdr:row>35</xdr:row>
      <xdr:rowOff>142875</xdr:rowOff>
    </xdr:from>
    <xdr:ext cx="4876800" cy="3248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190500</xdr:rowOff>
    </xdr:from>
    <xdr:ext cx="84867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AS48" displayName="Table1" name="Table1" id="1">
  <autoFilter ref="$A$5:$AS$48">
    <filterColumn colId="11">
      <filters blank="1">
        <filter val="x"/>
      </filters>
    </filterColumn>
  </autoFilter>
  <tableColumns count="45">
    <tableColumn name="Hero Name" id="1"/>
    <tableColumn name="Base Bullet Dmg" id="2"/>
    <tableColumn name="Pellets" id="3"/>
    <tableColumn name="Alt Fire Type/Dmg" id="4"/>
    <tableColumn name="Alt Fire Pellets" id="5"/>
    <tableColumn name="Base Ammo" id="6"/>
    <tableColumn name="Base Fire Rate" id="7"/>
    <tableColumn name="Base DPS" id="8"/>
    <tableColumn name="DPM" id="9"/>
    <tableColumn name="Falloff Range Min" id="10"/>
    <tableColumn name="Falloff Range Max" id="11"/>
    <tableColumn name="Hero Labs" id="12"/>
    <tableColumn name="Base HP" id="13"/>
    <tableColumn name="Base Regen" id="14"/>
    <tableColumn name="Base Move Speed" id="15"/>
    <tableColumn name="Base Sprint" id="16"/>
    <tableColumn name="Base Stamina" id="17"/>
    <tableColumn name="|||" id="18"/>
    <tableColumn name="Dmg Gain" id="19"/>
    <tableColumn name="HP Gain" id="20"/>
    <tableColumn name="Spirit Gain" id="21"/>
    <tableColumn name="|||||||" id="22"/>
    <tableColumn name="Max Level HP" id="23"/>
    <tableColumn name="Max Gun Damage" id="24"/>
    <tableColumn name="Max Gun DPS" id="25"/>
    <tableColumn name="Max DPM" id="26"/>
    <tableColumn name="dps % growth increase" id="27"/>
    <tableColumn name="hp % growth increase" id="28"/>
    <tableColumn name="aggregate growth %" id="29"/>
    <tableColumn name="||||||||||" id="30"/>
    <tableColumn name="Spirit Scaling" id="31"/>
    <tableColumn name="Spirit Ratio" id="32"/>
    <tableColumn name="Spirit Bonus" id="33"/>
    <tableColumn name="Spirit Scaling 2" id="34"/>
    <tableColumn name="Spirit Ratio 2" id="35"/>
    <tableColumn name="Spirit Bonus 2" id="36"/>
    <tableColumn name="Ability 1 Damage" id="37"/>
    <tableColumn name="Ability 2 Damage" id="38"/>
    <tableColumn name="Ability 3 Damage" id="39"/>
    <tableColumn name="Ability 1 Spirit Scaling" id="40"/>
    <tableColumn name="Ability 1 Alt Scaling" id="41"/>
    <tableColumn name="Ability 2 Spirit Scaling" id="42"/>
    <tableColumn name="Ability 2 Alt Scaling" id="43"/>
    <tableColumn name="Ability 3 Spirit Scaling" id="44"/>
    <tableColumn name="Ability 3 Alt Scaling" id="45"/>
  </tableColumns>
  <tableStyleInfo name="Heroes-style" showColumnStripes="0" showFirstColumn="1" showLastColumn="1" showRowStripes="1"/>
</table>
</file>

<file path=xl/tables/table2.xml><?xml version="1.0" encoding="utf-8"?>
<table xmlns="http://schemas.openxmlformats.org/spreadsheetml/2006/main" ref="A3:T35" displayName="Table2" name="Table2" id="2">
  <tableColumns count="20">
    <tableColumn name="hero name" id="1"/>
    <tableColumn name="Early" id="2"/>
    <tableColumn name="Mid" id="3"/>
    <tableColumn name="Late" id="4"/>
    <tableColumn name="Nuke (spirit)" id="5"/>
    <tableColumn name="Nuke (phys)" id="6"/>
    <tableColumn name="Poke" id="7"/>
    <tableColumn name="Crowd Control" id="8"/>
    <tableColumn name="Engage" id="9"/>
    <tableColumn name="Disengage" id="10"/>
    <tableColumn name="Mobility" id="11"/>
    <tableColumn name="Mid Contest" id="12"/>
    <tableColumn name="Frontline" id="13"/>
    <tableColumn name="Pick" id="14"/>
    <tableColumn name="Support" id="15"/>
    <tableColumn name="Wave Clear" id="16"/>
    <tableColumn name="Carry" id="17"/>
    <tableColumn name="sustain dps (spirit)" id="18"/>
    <tableColumn name="sustain dps (physical)" id="19"/>
    <tableColumn name="average rank" id="20"/>
  </tableColumns>
  <tableStyleInfo name="Hero meta ranking-style" showColumnStripes="0" showFirstColumn="1" showLastColumn="1" showRowStripes="1"/>
</table>
</file>

<file path=xl/tables/table3.xml><?xml version="1.0" encoding="utf-8"?>
<table xmlns="http://schemas.openxmlformats.org/spreadsheetml/2006/main" headerRowCount="0" ref="A26:J29" displayName="Table_1" name="Table_1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Hidden Mechan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2" max="2" width="14.0"/>
    <col customWidth="1" min="3" max="3" width="10.75"/>
    <col customWidth="1" min="4" max="4" width="13.88"/>
    <col customWidth="1" min="6" max="6" width="11.0"/>
    <col customWidth="1" min="7" max="7" width="12.38"/>
    <col customWidth="1" min="8" max="8" width="11.88"/>
    <col customWidth="1" min="9" max="9" width="12.38"/>
    <col customWidth="1" min="13" max="13" width="14.13"/>
    <col customWidth="1" min="17" max="17" width="11.88"/>
    <col customWidth="1" min="18" max="18" width="10.38"/>
    <col customWidth="1" min="20" max="21" width="13.0"/>
    <col customWidth="1" min="22" max="22" width="12.75"/>
    <col customWidth="1" min="24" max="25" width="17.25"/>
    <col customWidth="1" min="26" max="26" width="10.88"/>
    <col customWidth="1" min="27" max="27" width="18.25"/>
    <col customWidth="1" min="28" max="28" width="17.88"/>
    <col customWidth="1" min="29" max="29" width="15.38"/>
    <col customWidth="1" min="30" max="30" width="15.88"/>
    <col customWidth="1" min="31" max="33" width="11.63"/>
    <col customWidth="1" min="34" max="34" width="15.5"/>
    <col customWidth="1" min="35" max="35" width="13.63"/>
    <col customWidth="1" min="36" max="36" width="15.5"/>
    <col customWidth="1" min="37" max="37" width="13.63"/>
    <col customWidth="1" min="38" max="38" width="15.5"/>
    <col customWidth="1" min="39" max="39" width="13.63"/>
    <col customWidth="1" min="40" max="46" width="55.13"/>
  </cols>
  <sheetData>
    <row r="1">
      <c r="A1" s="1"/>
      <c r="B1" s="2"/>
      <c r="C1" s="3" t="s">
        <v>0</v>
      </c>
      <c r="L1" s="2"/>
      <c r="M1" s="2"/>
      <c r="N1" s="2"/>
      <c r="O1" s="2"/>
      <c r="P1" s="2"/>
      <c r="Q1" s="2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>
      <c r="A2" s="2"/>
      <c r="B2" s="2"/>
      <c r="L2" s="5" t="s">
        <v>1</v>
      </c>
      <c r="M2" s="6" t="s">
        <v>2</v>
      </c>
      <c r="N2" s="2"/>
      <c r="O2" s="7" t="s">
        <v>3</v>
      </c>
      <c r="P2" s="2"/>
      <c r="Q2" s="2"/>
      <c r="R2" s="4"/>
      <c r="S2" s="4"/>
      <c r="T2" s="4"/>
      <c r="U2" s="4"/>
      <c r="V2" s="4"/>
      <c r="W2" s="4"/>
      <c r="X2" s="2"/>
      <c r="Y2" s="2"/>
      <c r="Z2" s="2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>
      <c r="A3" s="2"/>
      <c r="B3" s="8" t="s">
        <v>4</v>
      </c>
      <c r="L3" s="6">
        <v>35.0</v>
      </c>
      <c r="M3" s="5">
        <v>38.0</v>
      </c>
      <c r="N3" s="2"/>
      <c r="O3" s="9">
        <f>counta(Table1[Hero Name])</f>
        <v>39</v>
      </c>
      <c r="P3" s="2"/>
      <c r="Q3" s="2"/>
      <c r="R3" s="4"/>
      <c r="S3" s="4"/>
      <c r="T3" s="4"/>
      <c r="U3" s="4"/>
      <c r="V3" s="4"/>
      <c r="W3" s="4"/>
      <c r="X3" s="4"/>
      <c r="Y3" s="7" t="s">
        <v>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>
      <c r="A4" s="2"/>
      <c r="B4" s="10"/>
      <c r="C4" s="7" t="s">
        <v>6</v>
      </c>
      <c r="D4" s="4"/>
      <c r="E4" s="11" t="s">
        <v>7</v>
      </c>
      <c r="F4" s="12"/>
      <c r="G4" s="12"/>
      <c r="H4" s="12"/>
      <c r="I4" s="12"/>
      <c r="J4" s="12"/>
      <c r="K4" s="12"/>
      <c r="L4" s="12"/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ht="42.75" customHeight="1">
      <c r="A5" s="13" t="s">
        <v>8</v>
      </c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14" t="s">
        <v>14</v>
      </c>
      <c r="H5" s="14" t="s">
        <v>15</v>
      </c>
      <c r="I5" s="13" t="s">
        <v>16</v>
      </c>
      <c r="J5" s="15" t="s">
        <v>17</v>
      </c>
      <c r="K5" s="15" t="s">
        <v>18</v>
      </c>
      <c r="L5" s="15" t="s">
        <v>19</v>
      </c>
      <c r="M5" s="14" t="s">
        <v>20</v>
      </c>
      <c r="N5" s="14" t="s">
        <v>21</v>
      </c>
      <c r="O5" s="14" t="s">
        <v>22</v>
      </c>
      <c r="P5" s="14" t="s">
        <v>23</v>
      </c>
      <c r="Q5" s="14" t="s">
        <v>24</v>
      </c>
      <c r="R5" s="13" t="s">
        <v>25</v>
      </c>
      <c r="S5" s="14" t="s">
        <v>26</v>
      </c>
      <c r="T5" s="14" t="s">
        <v>27</v>
      </c>
      <c r="U5" s="13" t="s">
        <v>28</v>
      </c>
      <c r="V5" s="13" t="s">
        <v>29</v>
      </c>
      <c r="W5" s="14" t="s">
        <v>30</v>
      </c>
      <c r="X5" s="14" t="s">
        <v>31</v>
      </c>
      <c r="Y5" s="14" t="s">
        <v>32</v>
      </c>
      <c r="Z5" s="14" t="s">
        <v>33</v>
      </c>
      <c r="AA5" s="15" t="s">
        <v>34</v>
      </c>
      <c r="AB5" s="15" t="s">
        <v>35</v>
      </c>
      <c r="AC5" s="15" t="s">
        <v>36</v>
      </c>
      <c r="AD5" s="15" t="s">
        <v>37</v>
      </c>
      <c r="AE5" s="14" t="s">
        <v>38</v>
      </c>
      <c r="AF5" s="14" t="s">
        <v>39</v>
      </c>
      <c r="AG5" s="14" t="s">
        <v>40</v>
      </c>
      <c r="AH5" s="14" t="s">
        <v>41</v>
      </c>
      <c r="AI5" s="14" t="s">
        <v>42</v>
      </c>
      <c r="AJ5" s="14" t="s">
        <v>43</v>
      </c>
      <c r="AK5" s="16" t="s">
        <v>44</v>
      </c>
      <c r="AL5" s="16" t="s">
        <v>45</v>
      </c>
      <c r="AM5" s="16" t="s">
        <v>46</v>
      </c>
      <c r="AN5" s="16" t="s">
        <v>47</v>
      </c>
      <c r="AO5" s="17" t="s">
        <v>48</v>
      </c>
      <c r="AP5" s="17" t="s">
        <v>49</v>
      </c>
      <c r="AQ5" s="17" t="s">
        <v>50</v>
      </c>
      <c r="AR5" s="16" t="s">
        <v>51</v>
      </c>
      <c r="AS5" s="16" t="s">
        <v>52</v>
      </c>
      <c r="AT5" s="2" t="s">
        <v>53</v>
      </c>
    </row>
    <row r="6" ht="22.5" customHeight="1">
      <c r="A6" s="18" t="s">
        <v>54</v>
      </c>
      <c r="B6" s="19"/>
      <c r="C6" s="19"/>
      <c r="D6" s="19"/>
      <c r="E6" s="20"/>
      <c r="F6" s="19"/>
      <c r="G6" s="19"/>
      <c r="H6" s="21">
        <f t="shared" ref="H6:H45" si="1">B6*C6*G6</f>
        <v>0</v>
      </c>
      <c r="I6" s="22">
        <f t="shared" ref="I6:I7" si="2">F6*B6*C6</f>
        <v>0</v>
      </c>
      <c r="J6" s="20"/>
      <c r="K6" s="20"/>
      <c r="L6" s="18" t="s">
        <v>55</v>
      </c>
      <c r="M6" s="18">
        <v>750.0</v>
      </c>
      <c r="N6" s="18">
        <v>2.0</v>
      </c>
      <c r="O6" s="18">
        <v>6.4</v>
      </c>
      <c r="P6" s="18">
        <v>1.6</v>
      </c>
      <c r="Q6" s="18">
        <v>3.0</v>
      </c>
      <c r="R6" s="20"/>
      <c r="S6" s="18">
        <v>0.4</v>
      </c>
      <c r="T6" s="18">
        <v>35.0</v>
      </c>
      <c r="U6" s="18">
        <v>1.1</v>
      </c>
      <c r="V6" s="20"/>
      <c r="W6" s="22">
        <f t="shared" ref="W6:W44" si="3">T6*$L$3+M6</f>
        <v>1975</v>
      </c>
      <c r="X6" s="22">
        <f t="shared" ref="X6:X16" si="4">S6*($L$3)+B6</f>
        <v>14</v>
      </c>
      <c r="Y6" s="22">
        <f t="shared" ref="Y6:Y45" si="5">X6*G6*C6</f>
        <v>0</v>
      </c>
      <c r="Z6" s="22">
        <f t="shared" ref="Z6:Z8" si="6">X6*F6*C6</f>
        <v>0</v>
      </c>
      <c r="AA6" s="23" t="str">
        <f t="shared" ref="AA6:AA38" si="7">(Y6-H6)/H6</f>
        <v>#DIV/0!</v>
      </c>
      <c r="AB6" s="23">
        <f t="shared" ref="AB6:AB38" si="8">(W6-M6)/M6</f>
        <v>1.633333333</v>
      </c>
      <c r="AC6" s="23" t="str">
        <f t="shared" ref="AC6:AC38" si="9">AA6+AB6</f>
        <v>#DIV/0!</v>
      </c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"/>
    </row>
    <row r="7" ht="22.5" customHeight="1">
      <c r="A7" s="18" t="s">
        <v>56</v>
      </c>
      <c r="B7" s="19"/>
      <c r="C7" s="19"/>
      <c r="D7" s="19"/>
      <c r="E7" s="20"/>
      <c r="F7" s="19"/>
      <c r="G7" s="19"/>
      <c r="H7" s="21">
        <f t="shared" si="1"/>
        <v>0</v>
      </c>
      <c r="I7" s="22">
        <f t="shared" si="2"/>
        <v>0</v>
      </c>
      <c r="J7" s="20"/>
      <c r="K7" s="20"/>
      <c r="L7" s="18" t="s">
        <v>55</v>
      </c>
      <c r="M7" s="18">
        <v>700.0</v>
      </c>
      <c r="N7" s="18">
        <v>2.0</v>
      </c>
      <c r="O7" s="18">
        <v>7.2</v>
      </c>
      <c r="P7" s="18">
        <v>1.6</v>
      </c>
      <c r="Q7" s="18">
        <v>3.0</v>
      </c>
      <c r="R7" s="20"/>
      <c r="S7" s="18">
        <v>1.2</v>
      </c>
      <c r="T7" s="18">
        <v>41.0</v>
      </c>
      <c r="U7" s="18">
        <v>1.1</v>
      </c>
      <c r="V7" s="20"/>
      <c r="W7" s="22">
        <f t="shared" si="3"/>
        <v>2135</v>
      </c>
      <c r="X7" s="22">
        <f t="shared" si="4"/>
        <v>42</v>
      </c>
      <c r="Y7" s="22">
        <f t="shared" si="5"/>
        <v>0</v>
      </c>
      <c r="Z7" s="22">
        <f t="shared" si="6"/>
        <v>0</v>
      </c>
      <c r="AA7" s="23" t="str">
        <f t="shared" si="7"/>
        <v>#DIV/0!</v>
      </c>
      <c r="AB7" s="23">
        <f t="shared" si="8"/>
        <v>2.05</v>
      </c>
      <c r="AC7" s="23" t="str">
        <f t="shared" si="9"/>
        <v>#DIV/0!</v>
      </c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"/>
    </row>
    <row r="8" ht="22.5" customHeight="1">
      <c r="A8" s="18" t="s">
        <v>57</v>
      </c>
      <c r="B8" s="18">
        <v>7.31</v>
      </c>
      <c r="C8" s="18">
        <v>1.0</v>
      </c>
      <c r="D8" s="18" t="s">
        <v>58</v>
      </c>
      <c r="E8" s="18">
        <v>1.0</v>
      </c>
      <c r="F8" s="18">
        <v>12.0</v>
      </c>
      <c r="G8" s="18">
        <v>3.97</v>
      </c>
      <c r="H8" s="21">
        <f t="shared" si="1"/>
        <v>29.0207</v>
      </c>
      <c r="I8" s="22">
        <f t="shared" ref="I8:I9" si="10">F8*B8</f>
        <v>87.72</v>
      </c>
      <c r="J8" s="18">
        <v>20.0</v>
      </c>
      <c r="K8" s="18">
        <v>46.0</v>
      </c>
      <c r="L8" s="18"/>
      <c r="M8" s="18">
        <v>630.0</v>
      </c>
      <c r="N8" s="18">
        <v>2.0</v>
      </c>
      <c r="O8" s="18">
        <v>7.29</v>
      </c>
      <c r="P8" s="18">
        <v>2.0</v>
      </c>
      <c r="Q8" s="18">
        <v>2.0</v>
      </c>
      <c r="R8" s="20"/>
      <c r="S8" s="18">
        <v>0.28</v>
      </c>
      <c r="T8" s="18">
        <v>28.0</v>
      </c>
      <c r="U8" s="18">
        <v>1.1</v>
      </c>
      <c r="V8" s="20"/>
      <c r="W8" s="22">
        <f t="shared" si="3"/>
        <v>1610</v>
      </c>
      <c r="X8" s="22">
        <f t="shared" si="4"/>
        <v>17.11</v>
      </c>
      <c r="Y8" s="22">
        <f t="shared" si="5"/>
        <v>67.9267</v>
      </c>
      <c r="Z8" s="22">
        <f t="shared" si="6"/>
        <v>205.32</v>
      </c>
      <c r="AA8" s="23">
        <f t="shared" si="7"/>
        <v>1.340629275</v>
      </c>
      <c r="AB8" s="23">
        <f t="shared" si="8"/>
        <v>1.555555556</v>
      </c>
      <c r="AC8" s="23">
        <f t="shared" si="9"/>
        <v>2.896184831</v>
      </c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"/>
    </row>
    <row r="9" ht="22.5" customHeight="1">
      <c r="A9" s="24" t="s">
        <v>59</v>
      </c>
      <c r="B9" s="24">
        <v>18.8</v>
      </c>
      <c r="C9" s="24">
        <v>1.0</v>
      </c>
      <c r="D9" s="24" t="s">
        <v>58</v>
      </c>
      <c r="E9" s="24">
        <v>1.0</v>
      </c>
      <c r="F9" s="24">
        <v>10.0</v>
      </c>
      <c r="G9" s="24">
        <v>2.12</v>
      </c>
      <c r="H9" s="21">
        <f t="shared" si="1"/>
        <v>39.856</v>
      </c>
      <c r="I9" s="22">
        <f t="shared" si="10"/>
        <v>188</v>
      </c>
      <c r="J9" s="18">
        <v>20.0</v>
      </c>
      <c r="K9" s="18">
        <v>58.0</v>
      </c>
      <c r="L9" s="24"/>
      <c r="M9" s="24">
        <v>750.0</v>
      </c>
      <c r="N9" s="24">
        <v>1.0</v>
      </c>
      <c r="O9" s="24">
        <v>8.3</v>
      </c>
      <c r="P9" s="24">
        <v>0.5</v>
      </c>
      <c r="Q9" s="24">
        <v>2.0</v>
      </c>
      <c r="R9" s="22"/>
      <c r="S9" s="24">
        <v>1.14</v>
      </c>
      <c r="T9" s="24">
        <v>41.0</v>
      </c>
      <c r="U9" s="18">
        <v>1.1</v>
      </c>
      <c r="V9" s="22"/>
      <c r="W9" s="22">
        <f t="shared" si="3"/>
        <v>2185</v>
      </c>
      <c r="X9" s="22">
        <f t="shared" si="4"/>
        <v>58.7</v>
      </c>
      <c r="Y9" s="22">
        <f t="shared" si="5"/>
        <v>124.444</v>
      </c>
      <c r="Z9" s="22">
        <f>X9*F9</f>
        <v>587</v>
      </c>
      <c r="AA9" s="23">
        <f t="shared" si="7"/>
        <v>2.122340426</v>
      </c>
      <c r="AB9" s="23">
        <f t="shared" si="8"/>
        <v>1.913333333</v>
      </c>
      <c r="AC9" s="23">
        <f t="shared" si="9"/>
        <v>4.035673759</v>
      </c>
      <c r="AD9" s="24"/>
      <c r="AE9" s="24"/>
      <c r="AF9" s="22"/>
      <c r="AG9" s="22"/>
      <c r="AH9" s="24"/>
      <c r="AI9" s="22"/>
      <c r="AJ9" s="22"/>
      <c r="AK9" s="25"/>
      <c r="AL9" s="25"/>
      <c r="AM9" s="25"/>
      <c r="AN9" s="25"/>
      <c r="AO9" s="25"/>
      <c r="AP9" s="25"/>
      <c r="AQ9" s="25"/>
      <c r="AR9" s="25"/>
      <c r="AS9" s="25"/>
      <c r="AT9" s="2"/>
    </row>
    <row r="10" ht="22.5" customHeight="1">
      <c r="A10" s="24" t="s">
        <v>60</v>
      </c>
      <c r="B10" s="18">
        <v>4.2</v>
      </c>
      <c r="C10" s="18">
        <v>1.0</v>
      </c>
      <c r="D10" s="18" t="s">
        <v>58</v>
      </c>
      <c r="E10" s="18">
        <v>1.0</v>
      </c>
      <c r="F10" s="18">
        <v>40.0</v>
      </c>
      <c r="G10" s="18">
        <v>9.8</v>
      </c>
      <c r="H10" s="21">
        <f t="shared" si="1"/>
        <v>41.16</v>
      </c>
      <c r="I10" s="22">
        <f>F10*B10*C10</f>
        <v>168</v>
      </c>
      <c r="J10" s="18">
        <v>8.0</v>
      </c>
      <c r="K10" s="18">
        <v>18.0</v>
      </c>
      <c r="L10" s="18" t="s">
        <v>55</v>
      </c>
      <c r="M10" s="18">
        <v>700.0</v>
      </c>
      <c r="N10" s="18">
        <v>1.0</v>
      </c>
      <c r="O10" s="18">
        <v>6.6</v>
      </c>
      <c r="P10" s="18">
        <v>1.6</v>
      </c>
      <c r="Q10" s="18">
        <v>2.0</v>
      </c>
      <c r="R10" s="20"/>
      <c r="S10" s="18">
        <v>0.06</v>
      </c>
      <c r="T10" s="18">
        <v>33.0</v>
      </c>
      <c r="U10" s="18">
        <v>1.1</v>
      </c>
      <c r="V10" s="20"/>
      <c r="W10" s="22">
        <f t="shared" si="3"/>
        <v>1855</v>
      </c>
      <c r="X10" s="22">
        <f t="shared" si="4"/>
        <v>6.3</v>
      </c>
      <c r="Y10" s="22">
        <f t="shared" si="5"/>
        <v>61.74</v>
      </c>
      <c r="Z10" s="22">
        <f>X10*F10*C10</f>
        <v>252</v>
      </c>
      <c r="AA10" s="23">
        <f t="shared" si="7"/>
        <v>0.5</v>
      </c>
      <c r="AB10" s="23">
        <f t="shared" si="8"/>
        <v>1.65</v>
      </c>
      <c r="AC10" s="23">
        <f t="shared" si="9"/>
        <v>2.15</v>
      </c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"/>
    </row>
    <row r="11" ht="22.5" customHeight="1">
      <c r="A11" s="24" t="s">
        <v>61</v>
      </c>
      <c r="B11" s="24">
        <v>15.2</v>
      </c>
      <c r="C11" s="24">
        <v>1.0</v>
      </c>
      <c r="D11" s="24" t="s">
        <v>58</v>
      </c>
      <c r="E11" s="24">
        <v>1.0</v>
      </c>
      <c r="F11" s="24">
        <v>16.0</v>
      </c>
      <c r="G11" s="24">
        <v>2.72</v>
      </c>
      <c r="H11" s="21">
        <f t="shared" si="1"/>
        <v>41.344</v>
      </c>
      <c r="I11" s="22">
        <f t="shared" ref="I11:I12" si="11">F11*B11</f>
        <v>243.2</v>
      </c>
      <c r="J11" s="18">
        <v>20.0</v>
      </c>
      <c r="K11" s="18">
        <v>58.0</v>
      </c>
      <c r="L11" s="24"/>
      <c r="M11" s="24">
        <v>700.0</v>
      </c>
      <c r="N11" s="24">
        <v>2.0</v>
      </c>
      <c r="O11" s="24">
        <v>7.3</v>
      </c>
      <c r="P11" s="24">
        <v>0.5</v>
      </c>
      <c r="Q11" s="24">
        <v>3.0</v>
      </c>
      <c r="R11" s="22"/>
      <c r="S11" s="26">
        <v>0.5</v>
      </c>
      <c r="T11" s="24">
        <v>44.0</v>
      </c>
      <c r="U11" s="18">
        <v>1.1</v>
      </c>
      <c r="V11" s="22"/>
      <c r="W11" s="22">
        <f t="shared" si="3"/>
        <v>2240</v>
      </c>
      <c r="X11" s="22">
        <f t="shared" si="4"/>
        <v>32.7</v>
      </c>
      <c r="Y11" s="22">
        <f t="shared" si="5"/>
        <v>88.944</v>
      </c>
      <c r="Z11" s="22">
        <f>X11*F11</f>
        <v>523.2</v>
      </c>
      <c r="AA11" s="23">
        <f t="shared" si="7"/>
        <v>1.151315789</v>
      </c>
      <c r="AB11" s="23">
        <f t="shared" si="8"/>
        <v>2.2</v>
      </c>
      <c r="AC11" s="23">
        <f t="shared" si="9"/>
        <v>3.351315789</v>
      </c>
      <c r="AD11" s="24"/>
      <c r="AE11" s="24"/>
      <c r="AF11" s="24"/>
      <c r="AG11" s="22"/>
      <c r="AH11" s="24"/>
      <c r="AI11" s="24"/>
      <c r="AJ11" s="22"/>
      <c r="AK11" s="25"/>
      <c r="AL11" s="25"/>
      <c r="AM11" s="25"/>
      <c r="AN11" s="25"/>
      <c r="AO11" s="25"/>
      <c r="AP11" s="25"/>
      <c r="AQ11" s="25"/>
      <c r="AR11" s="25"/>
      <c r="AS11" s="25"/>
      <c r="AT11" s="2"/>
    </row>
    <row r="12" ht="22.5" customHeight="1">
      <c r="A12" s="18" t="s">
        <v>62</v>
      </c>
      <c r="B12" s="18">
        <v>29.0</v>
      </c>
      <c r="C12" s="18">
        <v>1.0</v>
      </c>
      <c r="D12" s="18" t="s">
        <v>58</v>
      </c>
      <c r="E12" s="18">
        <v>1.0</v>
      </c>
      <c r="F12" s="18">
        <v>8.0</v>
      </c>
      <c r="G12" s="18">
        <v>1.47</v>
      </c>
      <c r="H12" s="21">
        <f t="shared" si="1"/>
        <v>42.63</v>
      </c>
      <c r="I12" s="22">
        <f t="shared" si="11"/>
        <v>232</v>
      </c>
      <c r="J12" s="18">
        <v>20.0</v>
      </c>
      <c r="K12" s="18">
        <v>58.0</v>
      </c>
      <c r="L12" s="18"/>
      <c r="M12" s="18">
        <v>725.0</v>
      </c>
      <c r="N12" s="18">
        <v>1.0</v>
      </c>
      <c r="O12" s="18">
        <v>8.0</v>
      </c>
      <c r="P12" s="18">
        <v>2.0</v>
      </c>
      <c r="Q12" s="18">
        <v>3.0</v>
      </c>
      <c r="R12" s="20"/>
      <c r="S12" s="18">
        <v>1.1</v>
      </c>
      <c r="T12" s="18">
        <v>42.0</v>
      </c>
      <c r="U12" s="18">
        <v>1.1</v>
      </c>
      <c r="V12" s="20"/>
      <c r="W12" s="22">
        <f t="shared" si="3"/>
        <v>2195</v>
      </c>
      <c r="X12" s="22">
        <f t="shared" si="4"/>
        <v>67.5</v>
      </c>
      <c r="Y12" s="22">
        <f t="shared" si="5"/>
        <v>99.225</v>
      </c>
      <c r="Z12" s="22">
        <f t="shared" ref="Z12:Z14" si="12">X12*F12*C12</f>
        <v>540</v>
      </c>
      <c r="AA12" s="23">
        <f t="shared" si="7"/>
        <v>1.327586207</v>
      </c>
      <c r="AB12" s="23">
        <f t="shared" si="8"/>
        <v>2.027586207</v>
      </c>
      <c r="AC12" s="23">
        <f t="shared" si="9"/>
        <v>3.355172414</v>
      </c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"/>
    </row>
    <row r="13" ht="22.5" customHeight="1">
      <c r="A13" s="18" t="s">
        <v>63</v>
      </c>
      <c r="B13" s="18">
        <v>5.5</v>
      </c>
      <c r="C13" s="18">
        <v>7.0</v>
      </c>
      <c r="D13" s="18" t="s">
        <v>58</v>
      </c>
      <c r="E13" s="18">
        <v>7.0</v>
      </c>
      <c r="F13" s="18">
        <v>5.0</v>
      </c>
      <c r="G13" s="18">
        <v>1.11</v>
      </c>
      <c r="H13" s="21">
        <f t="shared" si="1"/>
        <v>42.735</v>
      </c>
      <c r="I13" s="22">
        <f t="shared" ref="I13:I14" si="13">F13*B13*C13</f>
        <v>192.5</v>
      </c>
      <c r="J13" s="18">
        <v>16.0</v>
      </c>
      <c r="K13" s="18">
        <v>46.0</v>
      </c>
      <c r="L13" s="18" t="s">
        <v>55</v>
      </c>
      <c r="M13" s="18">
        <v>725.0</v>
      </c>
      <c r="N13" s="18">
        <v>2.0</v>
      </c>
      <c r="O13" s="18">
        <v>6.7</v>
      </c>
      <c r="P13" s="18">
        <v>1.5</v>
      </c>
      <c r="Q13" s="18">
        <v>2.0</v>
      </c>
      <c r="R13" s="20"/>
      <c r="S13" s="18">
        <v>0.12</v>
      </c>
      <c r="T13" s="18">
        <v>29.0</v>
      </c>
      <c r="U13" s="18">
        <v>1.1</v>
      </c>
      <c r="V13" s="20"/>
      <c r="W13" s="22">
        <f t="shared" si="3"/>
        <v>1740</v>
      </c>
      <c r="X13" s="22">
        <f t="shared" si="4"/>
        <v>9.7</v>
      </c>
      <c r="Y13" s="22">
        <f t="shared" si="5"/>
        <v>75.369</v>
      </c>
      <c r="Z13" s="22">
        <f t="shared" si="12"/>
        <v>339.5</v>
      </c>
      <c r="AA13" s="23">
        <f t="shared" si="7"/>
        <v>0.7636363636</v>
      </c>
      <c r="AB13" s="23">
        <f t="shared" si="8"/>
        <v>1.4</v>
      </c>
      <c r="AC13" s="23">
        <f t="shared" si="9"/>
        <v>2.163636364</v>
      </c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"/>
    </row>
    <row r="14" ht="22.5" customHeight="1">
      <c r="A14" s="18" t="s">
        <v>64</v>
      </c>
      <c r="B14" s="18">
        <v>19.5</v>
      </c>
      <c r="C14" s="18">
        <v>1.0</v>
      </c>
      <c r="D14" s="18" t="s">
        <v>58</v>
      </c>
      <c r="E14" s="18">
        <v>1.0</v>
      </c>
      <c r="F14" s="18">
        <v>12.0</v>
      </c>
      <c r="G14" s="18">
        <v>2.27</v>
      </c>
      <c r="H14" s="21">
        <f t="shared" si="1"/>
        <v>44.265</v>
      </c>
      <c r="I14" s="22">
        <f t="shared" si="13"/>
        <v>234</v>
      </c>
      <c r="J14" s="18">
        <v>20.0</v>
      </c>
      <c r="K14" s="18">
        <v>46.0</v>
      </c>
      <c r="L14" s="18"/>
      <c r="M14" s="18">
        <v>725.0</v>
      </c>
      <c r="N14" s="18">
        <v>3.5</v>
      </c>
      <c r="O14" s="18">
        <v>7.01</v>
      </c>
      <c r="P14" s="18">
        <v>2.0</v>
      </c>
      <c r="Q14" s="18">
        <v>3.0</v>
      </c>
      <c r="R14" s="20"/>
      <c r="S14" s="18">
        <v>0.62</v>
      </c>
      <c r="T14" s="18">
        <v>39.0</v>
      </c>
      <c r="U14" s="18">
        <v>1.1</v>
      </c>
      <c r="V14" s="20"/>
      <c r="W14" s="22">
        <f t="shared" si="3"/>
        <v>2090</v>
      </c>
      <c r="X14" s="22">
        <f t="shared" si="4"/>
        <v>41.2</v>
      </c>
      <c r="Y14" s="22">
        <f t="shared" si="5"/>
        <v>93.524</v>
      </c>
      <c r="Z14" s="22">
        <f t="shared" si="12"/>
        <v>494.4</v>
      </c>
      <c r="AA14" s="23">
        <f t="shared" si="7"/>
        <v>1.112820513</v>
      </c>
      <c r="AB14" s="23">
        <f t="shared" si="8"/>
        <v>1.882758621</v>
      </c>
      <c r="AC14" s="23">
        <f t="shared" si="9"/>
        <v>2.995579134</v>
      </c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"/>
    </row>
    <row r="15" ht="22.5" customHeight="1">
      <c r="A15" s="24" t="s">
        <v>65</v>
      </c>
      <c r="B15" s="24">
        <v>12.2</v>
      </c>
      <c r="C15" s="24">
        <v>1.0</v>
      </c>
      <c r="D15" s="24" t="s">
        <v>58</v>
      </c>
      <c r="E15" s="24">
        <v>1.0</v>
      </c>
      <c r="F15" s="24">
        <v>18.0</v>
      </c>
      <c r="G15" s="24">
        <v>3.81</v>
      </c>
      <c r="H15" s="21">
        <f t="shared" si="1"/>
        <v>46.482</v>
      </c>
      <c r="I15" s="22">
        <f t="shared" ref="I15:I22" si="14">F15*B15</f>
        <v>219.6</v>
      </c>
      <c r="J15" s="18">
        <v>20.0</v>
      </c>
      <c r="K15" s="18">
        <v>58.0</v>
      </c>
      <c r="L15" s="24"/>
      <c r="M15" s="24">
        <v>850.0</v>
      </c>
      <c r="N15" s="24">
        <v>2.5</v>
      </c>
      <c r="O15" s="24">
        <v>6.8</v>
      </c>
      <c r="P15" s="24">
        <v>0.5</v>
      </c>
      <c r="Q15" s="24">
        <v>3.0</v>
      </c>
      <c r="R15" s="22"/>
      <c r="S15" s="27">
        <v>0.44</v>
      </c>
      <c r="T15" s="24">
        <v>59.0</v>
      </c>
      <c r="U15" s="18">
        <v>1.1</v>
      </c>
      <c r="V15" s="22"/>
      <c r="W15" s="22">
        <f t="shared" si="3"/>
        <v>2915</v>
      </c>
      <c r="X15" s="22">
        <f t="shared" si="4"/>
        <v>27.6</v>
      </c>
      <c r="Y15" s="22">
        <f t="shared" si="5"/>
        <v>105.156</v>
      </c>
      <c r="Z15" s="22">
        <f t="shared" ref="Z15:Z22" si="15">X15*F15</f>
        <v>496.8</v>
      </c>
      <c r="AA15" s="23">
        <f t="shared" si="7"/>
        <v>1.262295082</v>
      </c>
      <c r="AB15" s="23">
        <f t="shared" si="8"/>
        <v>2.429411765</v>
      </c>
      <c r="AC15" s="23">
        <f t="shared" si="9"/>
        <v>3.691706847</v>
      </c>
      <c r="AD15" s="24"/>
      <c r="AE15" s="24"/>
      <c r="AF15" s="24"/>
      <c r="AG15" s="22"/>
      <c r="AH15" s="24"/>
      <c r="AI15" s="24"/>
      <c r="AJ15" s="22"/>
      <c r="AK15" s="25"/>
      <c r="AL15" s="25"/>
      <c r="AM15" s="25"/>
      <c r="AN15" s="25"/>
      <c r="AO15" s="25"/>
      <c r="AP15" s="25"/>
      <c r="AQ15" s="25"/>
      <c r="AR15" s="25"/>
      <c r="AS15" s="25"/>
      <c r="AT15" s="2"/>
    </row>
    <row r="16" ht="22.5" customHeight="1">
      <c r="A16" s="24" t="s">
        <v>66</v>
      </c>
      <c r="B16" s="24">
        <v>22.0</v>
      </c>
      <c r="C16" s="24">
        <v>1.0</v>
      </c>
      <c r="D16" s="24" t="s">
        <v>58</v>
      </c>
      <c r="E16" s="24">
        <v>1.0</v>
      </c>
      <c r="F16" s="24">
        <v>10.0</v>
      </c>
      <c r="G16" s="24">
        <v>2.12</v>
      </c>
      <c r="H16" s="21">
        <f t="shared" si="1"/>
        <v>46.64</v>
      </c>
      <c r="I16" s="22">
        <f t="shared" si="14"/>
        <v>220</v>
      </c>
      <c r="J16" s="18">
        <v>20.0</v>
      </c>
      <c r="K16" s="18">
        <v>58.0</v>
      </c>
      <c r="L16" s="24"/>
      <c r="M16" s="24">
        <v>850.0</v>
      </c>
      <c r="N16" s="24">
        <v>1.0</v>
      </c>
      <c r="O16" s="24">
        <v>6.3</v>
      </c>
      <c r="P16" s="24">
        <v>1.5</v>
      </c>
      <c r="Q16" s="24">
        <v>3.0</v>
      </c>
      <c r="R16" s="22"/>
      <c r="S16" s="27">
        <v>0.95</v>
      </c>
      <c r="T16" s="24">
        <v>51.0</v>
      </c>
      <c r="U16" s="18">
        <v>1.1</v>
      </c>
      <c r="V16" s="22"/>
      <c r="W16" s="22">
        <f t="shared" si="3"/>
        <v>2635</v>
      </c>
      <c r="X16" s="22">
        <f t="shared" si="4"/>
        <v>55.25</v>
      </c>
      <c r="Y16" s="22">
        <f t="shared" si="5"/>
        <v>117.13</v>
      </c>
      <c r="Z16" s="22">
        <f t="shared" si="15"/>
        <v>552.5</v>
      </c>
      <c r="AA16" s="23">
        <f t="shared" si="7"/>
        <v>1.511363636</v>
      </c>
      <c r="AB16" s="23">
        <f t="shared" si="8"/>
        <v>2.1</v>
      </c>
      <c r="AC16" s="23">
        <f t="shared" si="9"/>
        <v>3.611363636</v>
      </c>
      <c r="AD16" s="24"/>
      <c r="AE16" s="24"/>
      <c r="AF16" s="24"/>
      <c r="AG16" s="22"/>
      <c r="AH16" s="24"/>
      <c r="AI16" s="24"/>
      <c r="AJ16" s="22"/>
      <c r="AK16" s="25"/>
      <c r="AL16" s="25"/>
      <c r="AM16" s="25"/>
      <c r="AN16" s="25"/>
      <c r="AO16" s="25"/>
      <c r="AP16" s="25"/>
      <c r="AQ16" s="25"/>
      <c r="AR16" s="25"/>
      <c r="AS16" s="25"/>
      <c r="AT16" s="2"/>
    </row>
    <row r="17" ht="22.5" customHeight="1">
      <c r="A17" s="24" t="s">
        <v>67</v>
      </c>
      <c r="B17" s="24">
        <f>24+AG17</f>
        <v>27.04</v>
      </c>
      <c r="C17" s="24">
        <v>1.0</v>
      </c>
      <c r="D17" s="24" t="s">
        <v>58</v>
      </c>
      <c r="E17" s="24">
        <v>1.0</v>
      </c>
      <c r="F17" s="24">
        <v>17.0</v>
      </c>
      <c r="G17" s="24">
        <v>1.73</v>
      </c>
      <c r="H17" s="21">
        <f t="shared" si="1"/>
        <v>46.7792</v>
      </c>
      <c r="I17" s="22">
        <f t="shared" si="14"/>
        <v>459.68</v>
      </c>
      <c r="J17" s="18">
        <v>18.0</v>
      </c>
      <c r="K17" s="18">
        <v>54.0</v>
      </c>
      <c r="L17" s="24"/>
      <c r="M17" s="24">
        <v>750.0</v>
      </c>
      <c r="N17" s="24">
        <v>2.0</v>
      </c>
      <c r="O17" s="24">
        <v>6.3</v>
      </c>
      <c r="P17" s="24">
        <v>0.5</v>
      </c>
      <c r="Q17" s="24">
        <v>3.0</v>
      </c>
      <c r="R17" s="22"/>
      <c r="S17" s="27">
        <v>1.0</v>
      </c>
      <c r="T17" s="24">
        <v>38.0</v>
      </c>
      <c r="U17" s="18">
        <v>1.1</v>
      </c>
      <c r="V17" s="22"/>
      <c r="W17" s="22">
        <f t="shared" si="3"/>
        <v>2080</v>
      </c>
      <c r="X17" s="22">
        <f>(S17*$L$3)+B17</f>
        <v>62.04</v>
      </c>
      <c r="Y17" s="22">
        <f t="shared" si="5"/>
        <v>107.3292</v>
      </c>
      <c r="Z17" s="22">
        <f t="shared" si="15"/>
        <v>1054.68</v>
      </c>
      <c r="AA17" s="23">
        <f t="shared" si="7"/>
        <v>1.294378698</v>
      </c>
      <c r="AB17" s="23">
        <f t="shared" si="8"/>
        <v>1.773333333</v>
      </c>
      <c r="AC17" s="23">
        <f t="shared" si="9"/>
        <v>3.067712032</v>
      </c>
      <c r="AD17" s="24"/>
      <c r="AE17" s="24" t="s">
        <v>68</v>
      </c>
      <c r="AF17" s="24">
        <v>0.08</v>
      </c>
      <c r="AG17" s="22">
        <f>AF17*$M$3</f>
        <v>3.04</v>
      </c>
      <c r="AH17" s="24" t="s">
        <v>69</v>
      </c>
      <c r="AI17" s="24">
        <v>0.034</v>
      </c>
      <c r="AJ17" s="28">
        <f>AI17*$M$3</f>
        <v>1.292</v>
      </c>
      <c r="AK17" s="25"/>
      <c r="AL17" s="25"/>
      <c r="AM17" s="25"/>
      <c r="AN17" s="25"/>
      <c r="AO17" s="25"/>
      <c r="AP17" s="25"/>
      <c r="AQ17" s="25"/>
      <c r="AR17" s="25"/>
      <c r="AS17" s="25"/>
      <c r="AT17" s="2"/>
    </row>
    <row r="18" ht="22.5" customHeight="1">
      <c r="A18" s="24" t="s">
        <v>70</v>
      </c>
      <c r="B18" s="24">
        <v>17.8</v>
      </c>
      <c r="C18" s="24">
        <v>1.0</v>
      </c>
      <c r="D18" s="24" t="s">
        <v>58</v>
      </c>
      <c r="E18" s="24">
        <v>1.0</v>
      </c>
      <c r="F18" s="24">
        <v>20.0</v>
      </c>
      <c r="G18" s="24">
        <v>2.72</v>
      </c>
      <c r="H18" s="21">
        <f t="shared" si="1"/>
        <v>48.416</v>
      </c>
      <c r="I18" s="22">
        <f t="shared" si="14"/>
        <v>356</v>
      </c>
      <c r="J18" s="18">
        <v>25.0</v>
      </c>
      <c r="K18" s="18">
        <v>61.0</v>
      </c>
      <c r="L18" s="24"/>
      <c r="M18" s="24">
        <v>700.0</v>
      </c>
      <c r="N18" s="24">
        <v>2.0</v>
      </c>
      <c r="O18" s="24">
        <v>7.6</v>
      </c>
      <c r="P18" s="24">
        <v>0.5</v>
      </c>
      <c r="Q18" s="24">
        <v>3.0</v>
      </c>
      <c r="R18" s="22"/>
      <c r="S18" s="24">
        <v>0.55</v>
      </c>
      <c r="T18" s="24">
        <v>38.0</v>
      </c>
      <c r="U18" s="18">
        <v>1.1</v>
      </c>
      <c r="V18" s="22"/>
      <c r="W18" s="22">
        <f t="shared" si="3"/>
        <v>2030</v>
      </c>
      <c r="X18" s="22">
        <f t="shared" ref="X18:X21" si="16">S18*($L$3)+B18</f>
        <v>37.05</v>
      </c>
      <c r="Y18" s="22">
        <f t="shared" si="5"/>
        <v>100.776</v>
      </c>
      <c r="Z18" s="22">
        <f t="shared" si="15"/>
        <v>741</v>
      </c>
      <c r="AA18" s="23">
        <f t="shared" si="7"/>
        <v>1.081460674</v>
      </c>
      <c r="AB18" s="23">
        <f t="shared" si="8"/>
        <v>1.9</v>
      </c>
      <c r="AC18" s="23">
        <f t="shared" si="9"/>
        <v>2.981460674</v>
      </c>
      <c r="AD18" s="24"/>
      <c r="AE18" s="24" t="s">
        <v>69</v>
      </c>
      <c r="AF18" s="24">
        <v>0.023</v>
      </c>
      <c r="AG18" s="22"/>
      <c r="AH18" s="24"/>
      <c r="AI18" s="22"/>
      <c r="AJ18" s="22"/>
      <c r="AK18" s="25"/>
      <c r="AL18" s="25"/>
      <c r="AM18" s="25"/>
      <c r="AN18" s="25"/>
      <c r="AO18" s="25"/>
      <c r="AP18" s="25"/>
      <c r="AQ18" s="25"/>
      <c r="AR18" s="25"/>
      <c r="AS18" s="25"/>
      <c r="AT18" s="2"/>
    </row>
    <row r="19" ht="22.5" customHeight="1">
      <c r="A19" s="24" t="s">
        <v>71</v>
      </c>
      <c r="B19" s="24">
        <v>6.42</v>
      </c>
      <c r="C19" s="24">
        <v>1.0</v>
      </c>
      <c r="D19" s="24" t="s">
        <v>58</v>
      </c>
      <c r="E19" s="24">
        <v>1.0</v>
      </c>
      <c r="F19" s="24">
        <v>40.0</v>
      </c>
      <c r="G19" s="24">
        <v>7.56</v>
      </c>
      <c r="H19" s="21">
        <f t="shared" si="1"/>
        <v>48.5352</v>
      </c>
      <c r="I19" s="22">
        <f t="shared" si="14"/>
        <v>256.8</v>
      </c>
      <c r="J19" s="18">
        <v>20.0</v>
      </c>
      <c r="K19" s="18">
        <v>58.0</v>
      </c>
      <c r="L19" s="24"/>
      <c r="M19" s="24">
        <v>700.0</v>
      </c>
      <c r="N19" s="24">
        <v>1.0</v>
      </c>
      <c r="O19" s="24">
        <v>6.8</v>
      </c>
      <c r="P19" s="24">
        <v>0.5</v>
      </c>
      <c r="Q19" s="24">
        <v>3.0</v>
      </c>
      <c r="R19" s="22"/>
      <c r="S19" s="27">
        <v>0.24</v>
      </c>
      <c r="T19" s="24">
        <v>45.0</v>
      </c>
      <c r="U19" s="18">
        <v>1.1</v>
      </c>
      <c r="V19" s="22"/>
      <c r="W19" s="22">
        <f t="shared" si="3"/>
        <v>2275</v>
      </c>
      <c r="X19" s="22">
        <f t="shared" si="16"/>
        <v>14.82</v>
      </c>
      <c r="Y19" s="22">
        <f t="shared" si="5"/>
        <v>112.0392</v>
      </c>
      <c r="Z19" s="22">
        <f t="shared" si="15"/>
        <v>592.8</v>
      </c>
      <c r="AA19" s="23">
        <f t="shared" si="7"/>
        <v>1.308411215</v>
      </c>
      <c r="AB19" s="23">
        <f t="shared" si="8"/>
        <v>2.25</v>
      </c>
      <c r="AC19" s="23">
        <f t="shared" si="9"/>
        <v>3.558411215</v>
      </c>
      <c r="AD19" s="24"/>
      <c r="AE19" s="24"/>
      <c r="AF19" s="24"/>
      <c r="AG19" s="22"/>
      <c r="AH19" s="24"/>
      <c r="AI19" s="24"/>
      <c r="AJ19" s="22"/>
      <c r="AK19" s="25"/>
      <c r="AL19" s="25"/>
      <c r="AM19" s="25"/>
      <c r="AN19" s="25"/>
      <c r="AO19" s="25"/>
      <c r="AP19" s="25"/>
      <c r="AQ19" s="25"/>
      <c r="AR19" s="25"/>
      <c r="AS19" s="25"/>
      <c r="AT19" s="2"/>
    </row>
    <row r="20" ht="22.5" customHeight="1">
      <c r="A20" s="24" t="s">
        <v>72</v>
      </c>
      <c r="B20" s="24">
        <v>10.3</v>
      </c>
      <c r="C20" s="24">
        <v>1.0</v>
      </c>
      <c r="D20" s="24">
        <v>42.0</v>
      </c>
      <c r="E20" s="24">
        <v>1.0</v>
      </c>
      <c r="F20" s="24">
        <v>24.0</v>
      </c>
      <c r="G20" s="24">
        <v>4.76</v>
      </c>
      <c r="H20" s="21">
        <f t="shared" si="1"/>
        <v>49.028</v>
      </c>
      <c r="I20" s="22">
        <f t="shared" si="14"/>
        <v>247.2</v>
      </c>
      <c r="J20" s="18">
        <v>20.0</v>
      </c>
      <c r="K20" s="18">
        <v>58.0</v>
      </c>
      <c r="L20" s="24"/>
      <c r="M20" s="24">
        <v>750.0</v>
      </c>
      <c r="N20" s="24">
        <v>2.0</v>
      </c>
      <c r="O20" s="24">
        <v>7.3</v>
      </c>
      <c r="P20" s="24">
        <v>0.5</v>
      </c>
      <c r="Q20" s="24">
        <v>3.0</v>
      </c>
      <c r="R20" s="22"/>
      <c r="S20" s="27">
        <v>0.36</v>
      </c>
      <c r="T20" s="24">
        <v>44.0</v>
      </c>
      <c r="U20" s="18">
        <v>1.3</v>
      </c>
      <c r="V20" s="22"/>
      <c r="W20" s="22">
        <f t="shared" si="3"/>
        <v>2290</v>
      </c>
      <c r="X20" s="22">
        <f t="shared" si="16"/>
        <v>22.9</v>
      </c>
      <c r="Y20" s="22">
        <f t="shared" si="5"/>
        <v>109.004</v>
      </c>
      <c r="Z20" s="22">
        <f t="shared" si="15"/>
        <v>549.6</v>
      </c>
      <c r="AA20" s="23">
        <f t="shared" si="7"/>
        <v>1.223300971</v>
      </c>
      <c r="AB20" s="23">
        <f t="shared" si="8"/>
        <v>2.053333333</v>
      </c>
      <c r="AC20" s="23">
        <f t="shared" si="9"/>
        <v>3.276634304</v>
      </c>
      <c r="AD20" s="24"/>
      <c r="AE20" s="24"/>
      <c r="AF20" s="24"/>
      <c r="AG20" s="22"/>
      <c r="AH20" s="24"/>
      <c r="AI20" s="24"/>
      <c r="AJ20" s="22"/>
      <c r="AK20" s="25"/>
      <c r="AL20" s="25"/>
      <c r="AM20" s="25"/>
      <c r="AN20" s="25"/>
      <c r="AO20" s="25"/>
      <c r="AP20" s="25"/>
      <c r="AQ20" s="25"/>
      <c r="AR20" s="25"/>
      <c r="AS20" s="25"/>
      <c r="AT20" s="2"/>
    </row>
    <row r="21" ht="22.5" customHeight="1">
      <c r="A21" s="24" t="s">
        <v>73</v>
      </c>
      <c r="B21" s="24">
        <v>8.46</v>
      </c>
      <c r="C21" s="24">
        <v>1.0</v>
      </c>
      <c r="D21" s="24" t="s">
        <v>58</v>
      </c>
      <c r="E21" s="24">
        <v>1.0</v>
      </c>
      <c r="F21" s="24">
        <v>29.0</v>
      </c>
      <c r="G21" s="24">
        <v>5.83</v>
      </c>
      <c r="H21" s="21">
        <f t="shared" si="1"/>
        <v>49.3218</v>
      </c>
      <c r="I21" s="22">
        <f t="shared" si="14"/>
        <v>245.34</v>
      </c>
      <c r="J21" s="18">
        <v>20.0</v>
      </c>
      <c r="K21" s="18">
        <v>58.0</v>
      </c>
      <c r="L21" s="24"/>
      <c r="M21" s="24">
        <v>750.0</v>
      </c>
      <c r="N21" s="24">
        <v>2.0</v>
      </c>
      <c r="O21" s="24">
        <v>7.3</v>
      </c>
      <c r="P21" s="24">
        <v>1.5</v>
      </c>
      <c r="Q21" s="24">
        <v>3.0</v>
      </c>
      <c r="R21" s="22"/>
      <c r="S21" s="27">
        <v>0.34</v>
      </c>
      <c r="T21" s="24">
        <v>50.0</v>
      </c>
      <c r="U21" s="18">
        <v>1.1</v>
      </c>
      <c r="V21" s="22"/>
      <c r="W21" s="22">
        <f t="shared" si="3"/>
        <v>2500</v>
      </c>
      <c r="X21" s="22">
        <f t="shared" si="16"/>
        <v>20.36</v>
      </c>
      <c r="Y21" s="22">
        <f t="shared" si="5"/>
        <v>118.6988</v>
      </c>
      <c r="Z21" s="22">
        <f t="shared" si="15"/>
        <v>590.44</v>
      </c>
      <c r="AA21" s="23">
        <f t="shared" si="7"/>
        <v>1.406619385</v>
      </c>
      <c r="AB21" s="23">
        <f t="shared" si="8"/>
        <v>2.333333333</v>
      </c>
      <c r="AC21" s="23">
        <f t="shared" si="9"/>
        <v>3.739952719</v>
      </c>
      <c r="AD21" s="24"/>
      <c r="AE21" s="24"/>
      <c r="AF21" s="24"/>
      <c r="AG21" s="22"/>
      <c r="AH21" s="24"/>
      <c r="AI21" s="24"/>
      <c r="AJ21" s="22"/>
      <c r="AK21" s="25"/>
      <c r="AL21" s="25"/>
      <c r="AM21" s="25"/>
      <c r="AN21" s="25"/>
      <c r="AO21" s="25"/>
      <c r="AP21" s="25"/>
      <c r="AQ21" s="25"/>
      <c r="AR21" s="25"/>
      <c r="AS21" s="25"/>
      <c r="AT21" s="2"/>
    </row>
    <row r="22" ht="22.5" customHeight="1">
      <c r="A22" s="24" t="s">
        <v>74</v>
      </c>
      <c r="B22" s="24">
        <v>5.26</v>
      </c>
      <c r="C22" s="24">
        <v>1.0</v>
      </c>
      <c r="D22" s="24" t="s">
        <v>58</v>
      </c>
      <c r="E22" s="24">
        <v>1.0</v>
      </c>
      <c r="F22" s="24">
        <f>25+AG22</f>
        <v>44</v>
      </c>
      <c r="G22" s="24">
        <v>9.52</v>
      </c>
      <c r="H22" s="21">
        <f t="shared" si="1"/>
        <v>50.0752</v>
      </c>
      <c r="I22" s="22">
        <f t="shared" si="14"/>
        <v>231.44</v>
      </c>
      <c r="J22" s="18">
        <v>20.0</v>
      </c>
      <c r="K22" s="18">
        <v>46.0</v>
      </c>
      <c r="L22" s="24"/>
      <c r="M22" s="24">
        <v>700.0</v>
      </c>
      <c r="N22" s="24">
        <v>2.0</v>
      </c>
      <c r="O22" s="24">
        <v>8.3</v>
      </c>
      <c r="P22" s="24">
        <v>0.5</v>
      </c>
      <c r="Q22" s="24">
        <v>3.0</v>
      </c>
      <c r="R22" s="22"/>
      <c r="S22" s="27">
        <v>0.14</v>
      </c>
      <c r="T22" s="24">
        <v>33.0</v>
      </c>
      <c r="U22" s="18">
        <v>1.1</v>
      </c>
      <c r="V22" s="22"/>
      <c r="W22" s="22">
        <f t="shared" si="3"/>
        <v>1855</v>
      </c>
      <c r="X22" s="22">
        <f>S22*($L$3)+B22+AJ22</f>
        <v>10.16</v>
      </c>
      <c r="Y22" s="22">
        <f t="shared" si="5"/>
        <v>96.7232</v>
      </c>
      <c r="Z22" s="22">
        <f t="shared" si="15"/>
        <v>447.04</v>
      </c>
      <c r="AA22" s="23">
        <f t="shared" si="7"/>
        <v>0.9315589354</v>
      </c>
      <c r="AB22" s="23">
        <f t="shared" si="8"/>
        <v>1.65</v>
      </c>
      <c r="AC22" s="23">
        <f t="shared" si="9"/>
        <v>2.581558935</v>
      </c>
      <c r="AD22" s="24"/>
      <c r="AE22" s="24" t="s">
        <v>75</v>
      </c>
      <c r="AF22" s="24">
        <v>0.5</v>
      </c>
      <c r="AG22" s="22">
        <f>AF22*$M$3</f>
        <v>19</v>
      </c>
      <c r="AH22" s="24" t="s">
        <v>68</v>
      </c>
      <c r="AI22" s="24">
        <v>0.025</v>
      </c>
      <c r="AJ22" s="22"/>
      <c r="AK22" s="25"/>
      <c r="AL22" s="25"/>
      <c r="AM22" s="25"/>
      <c r="AN22" s="25"/>
      <c r="AO22" s="25"/>
      <c r="AP22" s="25"/>
      <c r="AQ22" s="25"/>
      <c r="AR22" s="25"/>
      <c r="AS22" s="25"/>
      <c r="AT22" s="2"/>
    </row>
    <row r="23" ht="22.5" customHeight="1">
      <c r="A23" s="24" t="s">
        <v>76</v>
      </c>
      <c r="B23" s="24">
        <v>4.8</v>
      </c>
      <c r="C23" s="24">
        <v>6.0</v>
      </c>
      <c r="D23" s="24">
        <v>4.6</v>
      </c>
      <c r="E23" s="24">
        <v>12.0</v>
      </c>
      <c r="F23" s="24">
        <v>10.0</v>
      </c>
      <c r="G23" s="24">
        <v>1.81</v>
      </c>
      <c r="H23" s="21">
        <f t="shared" si="1"/>
        <v>52.128</v>
      </c>
      <c r="I23" s="22">
        <f>F23*C23*B23</f>
        <v>288</v>
      </c>
      <c r="J23" s="18">
        <v>20.0</v>
      </c>
      <c r="K23" s="18">
        <v>41.0</v>
      </c>
      <c r="L23" s="24"/>
      <c r="M23" s="24">
        <v>800.0</v>
      </c>
      <c r="N23" s="24">
        <v>2.0</v>
      </c>
      <c r="O23" s="24">
        <v>7.0</v>
      </c>
      <c r="P23" s="24">
        <v>0.5</v>
      </c>
      <c r="Q23" s="24">
        <v>3.0</v>
      </c>
      <c r="R23" s="22"/>
      <c r="S23" s="27">
        <v>0.14</v>
      </c>
      <c r="T23" s="24">
        <v>48.0</v>
      </c>
      <c r="U23" s="18">
        <v>1.1</v>
      </c>
      <c r="V23" s="22"/>
      <c r="W23" s="22">
        <f t="shared" si="3"/>
        <v>2480</v>
      </c>
      <c r="X23" s="22">
        <f t="shared" ref="X23:X45" si="17">S23*($L$3)+B23</f>
        <v>9.7</v>
      </c>
      <c r="Y23" s="22">
        <f t="shared" si="5"/>
        <v>105.342</v>
      </c>
      <c r="Z23" s="22">
        <f>X23*F23*C23</f>
        <v>582</v>
      </c>
      <c r="AA23" s="23">
        <f t="shared" si="7"/>
        <v>1.020833333</v>
      </c>
      <c r="AB23" s="23">
        <f t="shared" si="8"/>
        <v>2.1</v>
      </c>
      <c r="AC23" s="23">
        <f t="shared" si="9"/>
        <v>3.120833333</v>
      </c>
      <c r="AD23" s="24"/>
      <c r="AE23" s="24"/>
      <c r="AF23" s="24"/>
      <c r="AG23" s="22"/>
      <c r="AH23" s="24"/>
      <c r="AI23" s="24"/>
      <c r="AJ23" s="22"/>
      <c r="AK23" s="25"/>
      <c r="AL23" s="25"/>
      <c r="AM23" s="25"/>
      <c r="AN23" s="25"/>
      <c r="AO23" s="25"/>
      <c r="AP23" s="25"/>
      <c r="AQ23" s="25"/>
      <c r="AR23" s="25"/>
      <c r="AS23" s="25"/>
      <c r="AT23" s="2"/>
    </row>
    <row r="24" ht="22.5" customHeight="1">
      <c r="A24" s="24" t="s">
        <v>77</v>
      </c>
      <c r="B24" s="24">
        <v>5.5</v>
      </c>
      <c r="C24" s="24">
        <v>1.0</v>
      </c>
      <c r="D24" s="24" t="s">
        <v>58</v>
      </c>
      <c r="E24" s="24">
        <v>1.0</v>
      </c>
      <c r="F24" s="24">
        <v>27.0</v>
      </c>
      <c r="G24" s="24">
        <v>9.52</v>
      </c>
      <c r="H24" s="21">
        <f t="shared" si="1"/>
        <v>52.36</v>
      </c>
      <c r="I24" s="22">
        <f>F24*B24</f>
        <v>148.5</v>
      </c>
      <c r="J24" s="18">
        <v>20.0</v>
      </c>
      <c r="K24" s="18">
        <v>58.0</v>
      </c>
      <c r="L24" s="24"/>
      <c r="M24" s="24">
        <v>800.0</v>
      </c>
      <c r="N24" s="24">
        <v>2.0</v>
      </c>
      <c r="O24" s="24">
        <v>6.8</v>
      </c>
      <c r="P24" s="24">
        <v>0.5</v>
      </c>
      <c r="Q24" s="24">
        <v>3.0</v>
      </c>
      <c r="R24" s="22"/>
      <c r="S24" s="27">
        <v>0.09</v>
      </c>
      <c r="T24" s="24">
        <v>39.0</v>
      </c>
      <c r="U24" s="18">
        <v>1.1</v>
      </c>
      <c r="V24" s="22"/>
      <c r="W24" s="22">
        <f t="shared" si="3"/>
        <v>2165</v>
      </c>
      <c r="X24" s="22">
        <f t="shared" si="17"/>
        <v>8.65</v>
      </c>
      <c r="Y24" s="22">
        <f t="shared" si="5"/>
        <v>82.348</v>
      </c>
      <c r="Z24" s="22">
        <f>X24*F24</f>
        <v>233.55</v>
      </c>
      <c r="AA24" s="23">
        <f t="shared" si="7"/>
        <v>0.5727272727</v>
      </c>
      <c r="AB24" s="23">
        <f t="shared" si="8"/>
        <v>1.70625</v>
      </c>
      <c r="AC24" s="23">
        <f t="shared" si="9"/>
        <v>2.278977273</v>
      </c>
      <c r="AD24" s="24"/>
      <c r="AE24" s="24"/>
      <c r="AF24" s="24"/>
      <c r="AG24" s="22"/>
      <c r="AH24" s="24"/>
      <c r="AI24" s="24"/>
      <c r="AJ24" s="22"/>
      <c r="AK24" s="25"/>
      <c r="AL24" s="25"/>
      <c r="AM24" s="25"/>
      <c r="AN24" s="25"/>
      <c r="AO24" s="25"/>
      <c r="AP24" s="25"/>
      <c r="AQ24" s="25"/>
      <c r="AR24" s="25"/>
      <c r="AS24" s="25"/>
      <c r="AT24" s="2"/>
    </row>
    <row r="25" ht="22.5" customHeight="1">
      <c r="A25" s="24" t="s">
        <v>78</v>
      </c>
      <c r="B25" s="24">
        <v>3.86</v>
      </c>
      <c r="C25" s="24">
        <v>9.0</v>
      </c>
      <c r="D25" s="24" t="s">
        <v>58</v>
      </c>
      <c r="E25" s="24">
        <v>9.0</v>
      </c>
      <c r="F25" s="24">
        <v>9.0</v>
      </c>
      <c r="G25" s="24">
        <v>1.59</v>
      </c>
      <c r="H25" s="21">
        <f t="shared" si="1"/>
        <v>55.2366</v>
      </c>
      <c r="I25" s="22">
        <f>F25*C25*B25</f>
        <v>312.66</v>
      </c>
      <c r="J25" s="18">
        <v>20.0</v>
      </c>
      <c r="K25" s="18">
        <v>46.0</v>
      </c>
      <c r="L25" s="24"/>
      <c r="M25" s="24">
        <v>770.0</v>
      </c>
      <c r="N25" s="24">
        <v>1.0</v>
      </c>
      <c r="O25" s="24">
        <v>6.8</v>
      </c>
      <c r="P25" s="24">
        <v>0.5</v>
      </c>
      <c r="Q25" s="24">
        <v>3.0</v>
      </c>
      <c r="R25" s="22"/>
      <c r="S25" s="27">
        <v>0.13</v>
      </c>
      <c r="T25" s="24">
        <v>49.0</v>
      </c>
      <c r="U25" s="18">
        <v>1.1</v>
      </c>
      <c r="V25" s="22"/>
      <c r="W25" s="22">
        <f t="shared" si="3"/>
        <v>2485</v>
      </c>
      <c r="X25" s="22">
        <f t="shared" si="17"/>
        <v>8.41</v>
      </c>
      <c r="Y25" s="22">
        <f t="shared" si="5"/>
        <v>120.3471</v>
      </c>
      <c r="Z25" s="22">
        <f>X25*F25*C25</f>
        <v>681.21</v>
      </c>
      <c r="AA25" s="23">
        <f t="shared" si="7"/>
        <v>1.178756477</v>
      </c>
      <c r="AB25" s="23">
        <f t="shared" si="8"/>
        <v>2.227272727</v>
      </c>
      <c r="AC25" s="23">
        <f t="shared" si="9"/>
        <v>3.406029204</v>
      </c>
      <c r="AD25" s="24"/>
      <c r="AE25" s="24"/>
      <c r="AF25" s="24"/>
      <c r="AG25" s="22"/>
      <c r="AH25" s="24"/>
      <c r="AI25" s="24"/>
      <c r="AJ25" s="22"/>
      <c r="AK25" s="25"/>
      <c r="AL25" s="25"/>
      <c r="AM25" s="25"/>
      <c r="AN25" s="25"/>
      <c r="AO25" s="25"/>
      <c r="AP25" s="25"/>
      <c r="AQ25" s="25"/>
      <c r="AR25" s="25"/>
      <c r="AS25" s="25"/>
      <c r="AT25" s="2"/>
    </row>
    <row r="26" ht="22.5" customHeight="1">
      <c r="A26" s="24" t="s">
        <v>79</v>
      </c>
      <c r="B26" s="24">
        <v>12.3</v>
      </c>
      <c r="C26" s="24">
        <v>1.0</v>
      </c>
      <c r="D26" s="24" t="s">
        <v>58</v>
      </c>
      <c r="E26" s="24">
        <v>1.0</v>
      </c>
      <c r="F26" s="24">
        <v>22.0</v>
      </c>
      <c r="G26" s="24">
        <f>4.33+(4*AG26%)</f>
        <v>4.5428</v>
      </c>
      <c r="H26" s="21">
        <f t="shared" si="1"/>
        <v>55.87644</v>
      </c>
      <c r="I26" s="22">
        <f>F26*B26</f>
        <v>270.6</v>
      </c>
      <c r="J26" s="18">
        <v>20.0</v>
      </c>
      <c r="K26" s="18">
        <v>64.0</v>
      </c>
      <c r="L26" s="24"/>
      <c r="M26" s="24">
        <v>725.0</v>
      </c>
      <c r="N26" s="24">
        <v>2.0</v>
      </c>
      <c r="O26" s="24">
        <v>9.0</v>
      </c>
      <c r="P26" s="24">
        <v>0.5</v>
      </c>
      <c r="Q26" s="24">
        <v>2.0</v>
      </c>
      <c r="R26" s="22"/>
      <c r="S26" s="27">
        <v>0.5</v>
      </c>
      <c r="T26" s="24">
        <v>29.0</v>
      </c>
      <c r="U26" s="18">
        <v>1.1</v>
      </c>
      <c r="V26" s="22"/>
      <c r="W26" s="22">
        <f t="shared" si="3"/>
        <v>1740</v>
      </c>
      <c r="X26" s="22">
        <f t="shared" si="17"/>
        <v>29.8</v>
      </c>
      <c r="Y26" s="22">
        <f t="shared" si="5"/>
        <v>135.37544</v>
      </c>
      <c r="Z26" s="22">
        <f>X26*F26</f>
        <v>655.6</v>
      </c>
      <c r="AA26" s="23">
        <f t="shared" si="7"/>
        <v>1.422764228</v>
      </c>
      <c r="AB26" s="23">
        <f t="shared" si="8"/>
        <v>1.4</v>
      </c>
      <c r="AC26" s="23">
        <f t="shared" si="9"/>
        <v>2.822764228</v>
      </c>
      <c r="AD26" s="24"/>
      <c r="AE26" s="24" t="s">
        <v>80</v>
      </c>
      <c r="AF26" s="24">
        <v>0.14</v>
      </c>
      <c r="AG26" s="22">
        <f>AF26*$M$3</f>
        <v>5.32</v>
      </c>
      <c r="AH26" s="24"/>
      <c r="AI26" s="24"/>
      <c r="AJ26" s="22"/>
      <c r="AK26" s="25"/>
      <c r="AL26" s="25"/>
      <c r="AM26" s="25"/>
      <c r="AN26" s="25"/>
      <c r="AO26" s="25"/>
      <c r="AP26" s="25"/>
      <c r="AQ26" s="25"/>
      <c r="AR26" s="25"/>
      <c r="AS26" s="25"/>
      <c r="AT26" s="2"/>
    </row>
    <row r="27" ht="22.5" customHeight="1">
      <c r="A27" s="24" t="s">
        <v>81</v>
      </c>
      <c r="B27" s="24">
        <v>4.28</v>
      </c>
      <c r="C27" s="24">
        <v>7.0</v>
      </c>
      <c r="D27" s="24" t="s">
        <v>58</v>
      </c>
      <c r="E27" s="24">
        <v>7.0</v>
      </c>
      <c r="F27" s="24">
        <v>11.0</v>
      </c>
      <c r="G27" s="24">
        <v>1.91</v>
      </c>
      <c r="H27" s="21">
        <f t="shared" si="1"/>
        <v>57.2236</v>
      </c>
      <c r="I27" s="22">
        <f>F27*C27*B27</f>
        <v>329.56</v>
      </c>
      <c r="J27" s="18">
        <v>16.0</v>
      </c>
      <c r="K27" s="18">
        <v>46.0</v>
      </c>
      <c r="L27" s="24"/>
      <c r="M27" s="24">
        <v>750.0</v>
      </c>
      <c r="N27" s="24">
        <v>1.0</v>
      </c>
      <c r="O27" s="24">
        <v>7.3</v>
      </c>
      <c r="P27" s="24">
        <v>0.5</v>
      </c>
      <c r="Q27" s="24">
        <v>3.0</v>
      </c>
      <c r="R27" s="22"/>
      <c r="S27" s="27">
        <v>0.22</v>
      </c>
      <c r="T27" s="24">
        <v>36.0</v>
      </c>
      <c r="U27" s="18">
        <v>1.1</v>
      </c>
      <c r="V27" s="22"/>
      <c r="W27" s="22">
        <f t="shared" si="3"/>
        <v>2010</v>
      </c>
      <c r="X27" s="22">
        <f t="shared" si="17"/>
        <v>11.98</v>
      </c>
      <c r="Y27" s="22">
        <f t="shared" si="5"/>
        <v>160.1726</v>
      </c>
      <c r="Z27" s="22">
        <f t="shared" ref="Z27:Z28" si="18">X27*F27*C27</f>
        <v>922.46</v>
      </c>
      <c r="AA27" s="23">
        <f t="shared" si="7"/>
        <v>1.799065421</v>
      </c>
      <c r="AB27" s="23">
        <f t="shared" si="8"/>
        <v>1.68</v>
      </c>
      <c r="AC27" s="23">
        <f t="shared" si="9"/>
        <v>3.479065421</v>
      </c>
      <c r="AD27" s="24"/>
      <c r="AE27" s="24"/>
      <c r="AF27" s="24"/>
      <c r="AG27" s="22"/>
      <c r="AH27" s="24"/>
      <c r="AI27" s="24"/>
      <c r="AJ27" s="22"/>
      <c r="AK27" s="25"/>
      <c r="AL27" s="25"/>
      <c r="AM27" s="25"/>
      <c r="AN27" s="25"/>
      <c r="AO27" s="25"/>
      <c r="AP27" s="25"/>
      <c r="AQ27" s="25"/>
      <c r="AR27" s="25"/>
      <c r="AS27" s="25"/>
      <c r="AT27" s="2"/>
    </row>
    <row r="28" ht="22.5" customHeight="1">
      <c r="A28" s="18" t="s">
        <v>82</v>
      </c>
      <c r="B28" s="18">
        <v>35.0</v>
      </c>
      <c r="C28" s="18">
        <v>1.0</v>
      </c>
      <c r="D28" s="18" t="s">
        <v>58</v>
      </c>
      <c r="E28" s="18">
        <v>1.0</v>
      </c>
      <c r="F28" s="18">
        <v>9.0</v>
      </c>
      <c r="G28" s="18">
        <v>1.67</v>
      </c>
      <c r="H28" s="21">
        <f t="shared" si="1"/>
        <v>58.45</v>
      </c>
      <c r="I28" s="22">
        <f t="shared" ref="I28:I29" si="19">F28*B28</f>
        <v>315</v>
      </c>
      <c r="J28" s="18">
        <v>20.0</v>
      </c>
      <c r="K28" s="18">
        <v>58.0</v>
      </c>
      <c r="L28" s="18"/>
      <c r="M28" s="18">
        <v>650.0</v>
      </c>
      <c r="N28" s="18">
        <v>2.0</v>
      </c>
      <c r="O28" s="18">
        <v>7.01</v>
      </c>
      <c r="P28" s="18">
        <v>4.0</v>
      </c>
      <c r="Q28" s="18">
        <v>2.0</v>
      </c>
      <c r="R28" s="20"/>
      <c r="S28" s="18">
        <v>0.52</v>
      </c>
      <c r="T28" s="18">
        <v>29.0</v>
      </c>
      <c r="U28" s="18">
        <v>1.1</v>
      </c>
      <c r="V28" s="20"/>
      <c r="W28" s="22">
        <f t="shared" si="3"/>
        <v>1665</v>
      </c>
      <c r="X28" s="22">
        <f t="shared" si="17"/>
        <v>53.2</v>
      </c>
      <c r="Y28" s="22">
        <f t="shared" si="5"/>
        <v>88.844</v>
      </c>
      <c r="Z28" s="22">
        <f t="shared" si="18"/>
        <v>478.8</v>
      </c>
      <c r="AA28" s="23">
        <f t="shared" si="7"/>
        <v>0.52</v>
      </c>
      <c r="AB28" s="23">
        <f t="shared" si="8"/>
        <v>1.561538462</v>
      </c>
      <c r="AC28" s="23">
        <f t="shared" si="9"/>
        <v>2.081538462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"/>
    </row>
    <row r="29" ht="22.5" customHeight="1">
      <c r="A29" s="24" t="s">
        <v>83</v>
      </c>
      <c r="B29" s="24">
        <v>4.98</v>
      </c>
      <c r="C29" s="24">
        <v>1.0</v>
      </c>
      <c r="D29" s="24" t="s">
        <v>84</v>
      </c>
      <c r="E29" s="24">
        <v>1.0</v>
      </c>
      <c r="F29" s="24">
        <v>66.0</v>
      </c>
      <c r="G29" s="24">
        <v>11.9</v>
      </c>
      <c r="H29" s="21">
        <f t="shared" si="1"/>
        <v>59.262</v>
      </c>
      <c r="I29" s="22">
        <f t="shared" si="19"/>
        <v>328.68</v>
      </c>
      <c r="J29" s="18">
        <v>20.0</v>
      </c>
      <c r="K29" s="18">
        <v>51.0</v>
      </c>
      <c r="L29" s="24"/>
      <c r="M29" s="24">
        <v>850.0</v>
      </c>
      <c r="N29" s="24">
        <v>1.5</v>
      </c>
      <c r="O29" s="24">
        <v>6.6</v>
      </c>
      <c r="P29" s="24">
        <v>3.5</v>
      </c>
      <c r="Q29" s="24">
        <v>3.0</v>
      </c>
      <c r="R29" s="22"/>
      <c r="S29" s="27">
        <v>0.15</v>
      </c>
      <c r="T29" s="24">
        <v>46.0</v>
      </c>
      <c r="U29" s="18">
        <v>1.1</v>
      </c>
      <c r="V29" s="22"/>
      <c r="W29" s="22">
        <f t="shared" si="3"/>
        <v>2460</v>
      </c>
      <c r="X29" s="22">
        <f t="shared" si="17"/>
        <v>10.23</v>
      </c>
      <c r="Y29" s="22">
        <f t="shared" si="5"/>
        <v>121.737</v>
      </c>
      <c r="Z29" s="22">
        <f>X29*F29</f>
        <v>675.18</v>
      </c>
      <c r="AA29" s="23">
        <f t="shared" si="7"/>
        <v>1.054216867</v>
      </c>
      <c r="AB29" s="23">
        <f t="shared" si="8"/>
        <v>1.894117647</v>
      </c>
      <c r="AC29" s="23">
        <f t="shared" si="9"/>
        <v>2.948334515</v>
      </c>
      <c r="AD29" s="24"/>
      <c r="AE29" s="24"/>
      <c r="AF29" s="24"/>
      <c r="AG29" s="22"/>
      <c r="AH29" s="24"/>
      <c r="AI29" s="24"/>
      <c r="AJ29" s="22"/>
      <c r="AK29" s="25"/>
      <c r="AL29" s="25"/>
      <c r="AM29" s="25"/>
      <c r="AN29" s="25"/>
      <c r="AO29" s="25"/>
      <c r="AP29" s="25"/>
      <c r="AQ29" s="25"/>
      <c r="AR29" s="25"/>
      <c r="AS29" s="25"/>
      <c r="AT29" s="2"/>
    </row>
    <row r="30" ht="22.5" customHeight="1">
      <c r="A30" s="24" t="s">
        <v>85</v>
      </c>
      <c r="B30" s="24">
        <v>2.82</v>
      </c>
      <c r="C30" s="24">
        <v>4.0</v>
      </c>
      <c r="D30" s="24" t="s">
        <v>58</v>
      </c>
      <c r="E30" s="24">
        <v>4.0</v>
      </c>
      <c r="F30" s="24">
        <v>20.0</v>
      </c>
      <c r="G30" s="24">
        <v>5.29</v>
      </c>
      <c r="H30" s="21">
        <f t="shared" si="1"/>
        <v>59.6712</v>
      </c>
      <c r="I30" s="22">
        <f>F30*B30*C30</f>
        <v>225.6</v>
      </c>
      <c r="J30" s="18">
        <v>20.0</v>
      </c>
      <c r="K30" s="18">
        <v>58.0</v>
      </c>
      <c r="L30" s="24"/>
      <c r="M30" s="24">
        <v>900.0</v>
      </c>
      <c r="N30" s="24">
        <v>1.0</v>
      </c>
      <c r="O30" s="24">
        <v>8.1</v>
      </c>
      <c r="P30" s="24">
        <v>0.5</v>
      </c>
      <c r="Q30" s="24">
        <v>3.0</v>
      </c>
      <c r="R30" s="22"/>
      <c r="S30" s="27">
        <v>0.08</v>
      </c>
      <c r="T30" s="24">
        <v>63.0</v>
      </c>
      <c r="U30" s="18">
        <v>1.1</v>
      </c>
      <c r="V30" s="22"/>
      <c r="W30" s="22">
        <f t="shared" si="3"/>
        <v>3105</v>
      </c>
      <c r="X30" s="22">
        <f t="shared" si="17"/>
        <v>5.62</v>
      </c>
      <c r="Y30" s="22">
        <f t="shared" si="5"/>
        <v>118.9192</v>
      </c>
      <c r="Z30" s="22">
        <f>X30*F30*C30</f>
        <v>449.6</v>
      </c>
      <c r="AA30" s="23">
        <f t="shared" si="7"/>
        <v>0.9929078014</v>
      </c>
      <c r="AB30" s="23">
        <f t="shared" si="8"/>
        <v>2.45</v>
      </c>
      <c r="AC30" s="23">
        <f t="shared" si="9"/>
        <v>3.442907801</v>
      </c>
      <c r="AD30" s="24"/>
      <c r="AE30" s="24"/>
      <c r="AF30" s="24"/>
      <c r="AG30" s="22"/>
      <c r="AH30" s="24"/>
      <c r="AI30" s="24"/>
      <c r="AJ30" s="22"/>
      <c r="AK30" s="25"/>
      <c r="AL30" s="25"/>
      <c r="AM30" s="25"/>
      <c r="AN30" s="25"/>
      <c r="AO30" s="25"/>
      <c r="AP30" s="25"/>
      <c r="AQ30" s="25"/>
      <c r="AR30" s="25"/>
      <c r="AS30" s="25"/>
      <c r="AT30" s="2"/>
    </row>
    <row r="31" ht="22.5" customHeight="1">
      <c r="A31" s="24" t="s">
        <v>86</v>
      </c>
      <c r="B31" s="24">
        <v>5.64</v>
      </c>
      <c r="C31" s="24">
        <v>1.0</v>
      </c>
      <c r="D31" s="24" t="s">
        <v>58</v>
      </c>
      <c r="E31" s="24">
        <v>1.0</v>
      </c>
      <c r="F31" s="24">
        <v>52.0</v>
      </c>
      <c r="G31" s="24">
        <v>10.6</v>
      </c>
      <c r="H31" s="21">
        <f t="shared" si="1"/>
        <v>59.784</v>
      </c>
      <c r="I31" s="22">
        <f>F31*B31</f>
        <v>293.28</v>
      </c>
      <c r="J31" s="18">
        <v>18.0</v>
      </c>
      <c r="K31" s="18">
        <v>52.0</v>
      </c>
      <c r="L31" s="24"/>
      <c r="M31" s="24">
        <v>700.0</v>
      </c>
      <c r="N31" s="24">
        <v>2.0</v>
      </c>
      <c r="O31" s="24">
        <v>7.3</v>
      </c>
      <c r="P31" s="24">
        <f>0.5+AG31</f>
        <v>2.78</v>
      </c>
      <c r="Q31" s="24">
        <v>3.0</v>
      </c>
      <c r="R31" s="22"/>
      <c r="S31" s="27">
        <v>0.14</v>
      </c>
      <c r="T31" s="24">
        <v>35.0</v>
      </c>
      <c r="U31" s="18">
        <v>1.1</v>
      </c>
      <c r="V31" s="22"/>
      <c r="W31" s="22">
        <f t="shared" si="3"/>
        <v>1925</v>
      </c>
      <c r="X31" s="22">
        <f t="shared" si="17"/>
        <v>10.54</v>
      </c>
      <c r="Y31" s="22">
        <f t="shared" si="5"/>
        <v>111.724</v>
      </c>
      <c r="Z31" s="22">
        <f>X31*F31</f>
        <v>548.08</v>
      </c>
      <c r="AA31" s="23">
        <f t="shared" si="7"/>
        <v>0.8687943262</v>
      </c>
      <c r="AB31" s="23">
        <f t="shared" si="8"/>
        <v>1.75</v>
      </c>
      <c r="AC31" s="23">
        <f t="shared" si="9"/>
        <v>2.618794326</v>
      </c>
      <c r="AD31" s="24"/>
      <c r="AE31" s="24" t="s">
        <v>87</v>
      </c>
      <c r="AF31" s="24">
        <v>0.06</v>
      </c>
      <c r="AG31" s="22">
        <f>AF31*$M$3</f>
        <v>2.28</v>
      </c>
      <c r="AH31" s="24"/>
      <c r="AI31" s="24"/>
      <c r="AJ31" s="22"/>
      <c r="AK31" s="25"/>
      <c r="AL31" s="25"/>
      <c r="AM31" s="25"/>
      <c r="AN31" s="25"/>
      <c r="AO31" s="25"/>
      <c r="AP31" s="25"/>
      <c r="AQ31" s="25"/>
      <c r="AR31" s="25"/>
      <c r="AS31" s="25"/>
      <c r="AT31" s="2"/>
    </row>
    <row r="32" ht="22.5" customHeight="1">
      <c r="A32" s="18" t="s">
        <v>88</v>
      </c>
      <c r="B32" s="18">
        <v>16.0</v>
      </c>
      <c r="C32" s="18">
        <v>1.0</v>
      </c>
      <c r="D32" s="18" t="s">
        <v>58</v>
      </c>
      <c r="E32" s="18">
        <v>1.0</v>
      </c>
      <c r="F32" s="18">
        <v>13.0</v>
      </c>
      <c r="G32" s="18">
        <v>3.85</v>
      </c>
      <c r="H32" s="21">
        <f t="shared" si="1"/>
        <v>61.6</v>
      </c>
      <c r="I32" s="22">
        <f>F32*B32*C32</f>
        <v>208</v>
      </c>
      <c r="J32" s="18">
        <v>20.0</v>
      </c>
      <c r="K32" s="18">
        <v>58.0</v>
      </c>
      <c r="L32" s="20"/>
      <c r="M32" s="18">
        <v>650.0</v>
      </c>
      <c r="N32" s="18">
        <v>2.0</v>
      </c>
      <c r="O32" s="18">
        <v>7.2</v>
      </c>
      <c r="P32" s="18">
        <v>4.0</v>
      </c>
      <c r="Q32" s="18">
        <v>3.0</v>
      </c>
      <c r="R32" s="20"/>
      <c r="S32" s="18">
        <v>0.34</v>
      </c>
      <c r="T32" s="18">
        <v>29.0</v>
      </c>
      <c r="U32" s="18">
        <v>1.1</v>
      </c>
      <c r="V32" s="20"/>
      <c r="W32" s="22">
        <f t="shared" si="3"/>
        <v>1665</v>
      </c>
      <c r="X32" s="22">
        <f t="shared" si="17"/>
        <v>27.9</v>
      </c>
      <c r="Y32" s="22">
        <f t="shared" si="5"/>
        <v>107.415</v>
      </c>
      <c r="Z32" s="22">
        <f>X32*F32*C32</f>
        <v>362.7</v>
      </c>
      <c r="AA32" s="23">
        <f t="shared" si="7"/>
        <v>0.74375</v>
      </c>
      <c r="AB32" s="23">
        <f t="shared" si="8"/>
        <v>1.561538462</v>
      </c>
      <c r="AC32" s="23">
        <f t="shared" si="9"/>
        <v>2.305288462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"/>
    </row>
    <row r="33" ht="22.5" customHeight="1">
      <c r="A33" s="24" t="s">
        <v>89</v>
      </c>
      <c r="B33" s="24">
        <v>4.59</v>
      </c>
      <c r="C33" s="24">
        <v>1.0</v>
      </c>
      <c r="D33" s="24" t="s">
        <v>58</v>
      </c>
      <c r="E33" s="24">
        <v>1.0</v>
      </c>
      <c r="F33" s="24">
        <v>33.0</v>
      </c>
      <c r="G33" s="24">
        <v>13.6</v>
      </c>
      <c r="H33" s="21">
        <f t="shared" si="1"/>
        <v>62.424</v>
      </c>
      <c r="I33" s="22">
        <f t="shared" ref="I33:I34" si="20">F33*B33</f>
        <v>151.47</v>
      </c>
      <c r="J33" s="18">
        <v>20.0</v>
      </c>
      <c r="K33" s="18">
        <v>58.0</v>
      </c>
      <c r="L33" s="24"/>
      <c r="M33" s="24">
        <v>725.0</v>
      </c>
      <c r="N33" s="24">
        <v>2.0</v>
      </c>
      <c r="O33" s="24">
        <v>7.3</v>
      </c>
      <c r="P33" s="24">
        <v>0.5</v>
      </c>
      <c r="Q33" s="24">
        <v>4.0</v>
      </c>
      <c r="R33" s="22"/>
      <c r="S33" s="27">
        <v>0.12</v>
      </c>
      <c r="T33" s="24">
        <v>44.0</v>
      </c>
      <c r="U33" s="18">
        <v>1.2</v>
      </c>
      <c r="V33" s="22"/>
      <c r="W33" s="22">
        <f t="shared" si="3"/>
        <v>2265</v>
      </c>
      <c r="X33" s="22">
        <f t="shared" si="17"/>
        <v>8.79</v>
      </c>
      <c r="Y33" s="22">
        <f t="shared" si="5"/>
        <v>119.544</v>
      </c>
      <c r="Z33" s="22">
        <f t="shared" ref="Z33:Z34" si="21">X33*F33</f>
        <v>290.07</v>
      </c>
      <c r="AA33" s="23">
        <f t="shared" si="7"/>
        <v>0.9150326797</v>
      </c>
      <c r="AB33" s="23">
        <f t="shared" si="8"/>
        <v>2.124137931</v>
      </c>
      <c r="AC33" s="23">
        <f t="shared" si="9"/>
        <v>3.039170611</v>
      </c>
      <c r="AD33" s="24"/>
      <c r="AE33" s="24"/>
      <c r="AF33" s="24"/>
      <c r="AG33" s="22"/>
      <c r="AH33" s="24"/>
      <c r="AI33" s="24"/>
      <c r="AJ33" s="22"/>
      <c r="AK33" s="25"/>
      <c r="AL33" s="25"/>
      <c r="AM33" s="25"/>
      <c r="AN33" s="25"/>
      <c r="AO33" s="25"/>
      <c r="AP33" s="25"/>
      <c r="AQ33" s="25"/>
      <c r="AR33" s="25"/>
      <c r="AS33" s="25"/>
      <c r="AT33" s="2"/>
    </row>
    <row r="34" ht="22.5" customHeight="1">
      <c r="A34" s="24" t="s">
        <v>90</v>
      </c>
      <c r="B34" s="24">
        <v>10.8</v>
      </c>
      <c r="C34" s="24">
        <v>1.0</v>
      </c>
      <c r="D34" s="24" t="s">
        <v>58</v>
      </c>
      <c r="E34" s="24">
        <v>1.0</v>
      </c>
      <c r="F34" s="24">
        <v>29.0</v>
      </c>
      <c r="G34" s="24">
        <v>5.83</v>
      </c>
      <c r="H34" s="21">
        <f t="shared" si="1"/>
        <v>62.964</v>
      </c>
      <c r="I34" s="22">
        <f t="shared" si="20"/>
        <v>313.2</v>
      </c>
      <c r="J34" s="18">
        <v>20.0</v>
      </c>
      <c r="K34" s="18">
        <v>58.0</v>
      </c>
      <c r="L34" s="24"/>
      <c r="M34" s="24">
        <v>700.0</v>
      </c>
      <c r="N34" s="24">
        <v>1.0</v>
      </c>
      <c r="O34" s="24">
        <v>6.8</v>
      </c>
      <c r="P34" s="24">
        <v>0.5</v>
      </c>
      <c r="Q34" s="24">
        <v>3.0</v>
      </c>
      <c r="R34" s="22"/>
      <c r="S34" s="27">
        <v>0.37</v>
      </c>
      <c r="T34" s="24">
        <v>41.0</v>
      </c>
      <c r="U34" s="18">
        <v>1.1</v>
      </c>
      <c r="V34" s="22"/>
      <c r="W34" s="22">
        <f t="shared" si="3"/>
        <v>2135</v>
      </c>
      <c r="X34" s="22">
        <f t="shared" si="17"/>
        <v>23.75</v>
      </c>
      <c r="Y34" s="22">
        <f t="shared" si="5"/>
        <v>138.4625</v>
      </c>
      <c r="Z34" s="22">
        <f t="shared" si="21"/>
        <v>688.75</v>
      </c>
      <c r="AA34" s="23">
        <f t="shared" si="7"/>
        <v>1.199074074</v>
      </c>
      <c r="AB34" s="23">
        <f t="shared" si="8"/>
        <v>2.05</v>
      </c>
      <c r="AC34" s="23">
        <f t="shared" si="9"/>
        <v>3.249074074</v>
      </c>
      <c r="AD34" s="24"/>
      <c r="AE34" s="24" t="s">
        <v>69</v>
      </c>
      <c r="AF34" s="24">
        <v>0.023</v>
      </c>
      <c r="AG34" s="22">
        <f t="shared" ref="AG34:AG35" si="22">AF34*$M$3</f>
        <v>0.874</v>
      </c>
      <c r="AH34" s="24"/>
      <c r="AI34" s="24"/>
      <c r="AJ34" s="22"/>
      <c r="AK34" s="25"/>
      <c r="AL34" s="25"/>
      <c r="AM34" s="25"/>
      <c r="AN34" s="25"/>
      <c r="AO34" s="25"/>
      <c r="AP34" s="25"/>
      <c r="AQ34" s="25"/>
      <c r="AR34" s="25"/>
      <c r="AS34" s="25"/>
      <c r="AT34" s="2"/>
    </row>
    <row r="35" ht="22.5" customHeight="1">
      <c r="A35" s="24" t="s">
        <v>91</v>
      </c>
      <c r="B35" s="24">
        <v>5.31</v>
      </c>
      <c r="C35" s="24">
        <v>5.0</v>
      </c>
      <c r="D35" s="24">
        <v>50.0</v>
      </c>
      <c r="E35" s="24">
        <v>1.0</v>
      </c>
      <c r="F35" s="24">
        <v>12.0</v>
      </c>
      <c r="G35" s="24">
        <v>2.38</v>
      </c>
      <c r="H35" s="21">
        <f t="shared" si="1"/>
        <v>63.189</v>
      </c>
      <c r="I35" s="22">
        <f t="shared" ref="I35:I36" si="23">F35*B35*C35</f>
        <v>318.6</v>
      </c>
      <c r="J35" s="18">
        <v>20.0</v>
      </c>
      <c r="K35" s="18">
        <v>46.0</v>
      </c>
      <c r="L35" s="24"/>
      <c r="M35" s="24">
        <v>700.0</v>
      </c>
      <c r="N35" s="24">
        <v>1.0</v>
      </c>
      <c r="O35" s="24">
        <v>8.3</v>
      </c>
      <c r="P35" s="24">
        <v>0.5</v>
      </c>
      <c r="Q35" s="24">
        <v>3.0</v>
      </c>
      <c r="R35" s="22"/>
      <c r="S35" s="27">
        <v>0.15</v>
      </c>
      <c r="T35" s="24">
        <v>44.0</v>
      </c>
      <c r="U35" s="18">
        <v>1.1</v>
      </c>
      <c r="V35" s="22"/>
      <c r="W35" s="22">
        <f t="shared" si="3"/>
        <v>2240</v>
      </c>
      <c r="X35" s="22">
        <f t="shared" si="17"/>
        <v>10.56</v>
      </c>
      <c r="Y35" s="22">
        <f t="shared" si="5"/>
        <v>125.664</v>
      </c>
      <c r="Z35" s="22">
        <f t="shared" ref="Z35:Z37" si="24">X35*F35*C35</f>
        <v>633.6</v>
      </c>
      <c r="AA35" s="23">
        <f t="shared" si="7"/>
        <v>0.988700565</v>
      </c>
      <c r="AB35" s="23">
        <f t="shared" si="8"/>
        <v>2.2</v>
      </c>
      <c r="AC35" s="23">
        <f t="shared" si="9"/>
        <v>3.188700565</v>
      </c>
      <c r="AD35" s="24"/>
      <c r="AE35" s="24" t="s">
        <v>75</v>
      </c>
      <c r="AF35" s="24">
        <v>0.15</v>
      </c>
      <c r="AG35" s="22">
        <f t="shared" si="22"/>
        <v>5.7</v>
      </c>
      <c r="AH35" s="24"/>
      <c r="AI35" s="24"/>
      <c r="AJ35" s="22"/>
      <c r="AK35" s="25"/>
      <c r="AL35" s="25"/>
      <c r="AM35" s="25"/>
      <c r="AN35" s="25"/>
      <c r="AO35" s="25"/>
      <c r="AP35" s="25"/>
      <c r="AQ35" s="25"/>
      <c r="AR35" s="25"/>
      <c r="AS35" s="25"/>
      <c r="AT35" s="2"/>
    </row>
    <row r="36" ht="22.5" customHeight="1">
      <c r="A36" s="18" t="s">
        <v>92</v>
      </c>
      <c r="B36" s="18">
        <v>8.0</v>
      </c>
      <c r="C36" s="18">
        <v>1.0</v>
      </c>
      <c r="D36" s="18" t="s">
        <v>58</v>
      </c>
      <c r="E36" s="18">
        <v>1.0</v>
      </c>
      <c r="F36" s="18">
        <v>33.0</v>
      </c>
      <c r="G36" s="18">
        <v>7.94</v>
      </c>
      <c r="H36" s="21">
        <f t="shared" si="1"/>
        <v>63.52</v>
      </c>
      <c r="I36" s="22">
        <f t="shared" si="23"/>
        <v>264</v>
      </c>
      <c r="J36" s="18">
        <v>20.0</v>
      </c>
      <c r="K36" s="18">
        <v>51.0</v>
      </c>
      <c r="L36" s="18" t="s">
        <v>55</v>
      </c>
      <c r="M36" s="18">
        <v>720.0</v>
      </c>
      <c r="N36" s="18">
        <v>2.0</v>
      </c>
      <c r="O36" s="18">
        <v>6.4</v>
      </c>
      <c r="P36" s="18">
        <v>1.5</v>
      </c>
      <c r="Q36" s="18">
        <v>3.0</v>
      </c>
      <c r="R36" s="20"/>
      <c r="S36" s="18">
        <v>0.27</v>
      </c>
      <c r="T36" s="18">
        <v>38.0</v>
      </c>
      <c r="U36" s="18">
        <v>1.1</v>
      </c>
      <c r="V36" s="20"/>
      <c r="W36" s="22">
        <f t="shared" si="3"/>
        <v>2050</v>
      </c>
      <c r="X36" s="22">
        <f t="shared" si="17"/>
        <v>17.45</v>
      </c>
      <c r="Y36" s="22">
        <f t="shared" si="5"/>
        <v>138.553</v>
      </c>
      <c r="Z36" s="22">
        <f t="shared" si="24"/>
        <v>575.85</v>
      </c>
      <c r="AA36" s="23">
        <f t="shared" si="7"/>
        <v>1.18125</v>
      </c>
      <c r="AB36" s="23">
        <f t="shared" si="8"/>
        <v>1.847222222</v>
      </c>
      <c r="AC36" s="23">
        <f t="shared" si="9"/>
        <v>3.028472222</v>
      </c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9"/>
    </row>
    <row r="37" ht="22.5" customHeight="1">
      <c r="A37" s="18" t="s">
        <v>93</v>
      </c>
      <c r="B37" s="18">
        <v>12.0</v>
      </c>
      <c r="C37" s="18">
        <v>1.0</v>
      </c>
      <c r="D37" s="18" t="s">
        <v>58</v>
      </c>
      <c r="E37" s="18">
        <v>1.0</v>
      </c>
      <c r="F37" s="18">
        <v>24.0</v>
      </c>
      <c r="G37" s="18">
        <v>5.85</v>
      </c>
      <c r="H37" s="21">
        <f t="shared" si="1"/>
        <v>70.2</v>
      </c>
      <c r="I37" s="22">
        <f t="shared" ref="I37:I41" si="25">F37*B37</f>
        <v>288</v>
      </c>
      <c r="J37" s="18">
        <v>20.0</v>
      </c>
      <c r="K37" s="18">
        <v>58.0</v>
      </c>
      <c r="L37" s="20"/>
      <c r="M37" s="18">
        <v>770.0</v>
      </c>
      <c r="N37" s="18">
        <v>1.5</v>
      </c>
      <c r="O37" s="18">
        <v>6.3</v>
      </c>
      <c r="P37" s="18">
        <v>1.5</v>
      </c>
      <c r="Q37" s="18">
        <v>3.0</v>
      </c>
      <c r="R37" s="20"/>
      <c r="S37" s="18">
        <v>0.33</v>
      </c>
      <c r="T37" s="18">
        <v>39.0</v>
      </c>
      <c r="U37" s="18">
        <v>1.1</v>
      </c>
      <c r="V37" s="20"/>
      <c r="W37" s="22">
        <f t="shared" si="3"/>
        <v>2135</v>
      </c>
      <c r="X37" s="22">
        <f t="shared" si="17"/>
        <v>23.55</v>
      </c>
      <c r="Y37" s="22">
        <f t="shared" si="5"/>
        <v>137.7675</v>
      </c>
      <c r="Z37" s="22">
        <f t="shared" si="24"/>
        <v>565.2</v>
      </c>
      <c r="AA37" s="23">
        <f t="shared" si="7"/>
        <v>0.9625</v>
      </c>
      <c r="AB37" s="23">
        <f t="shared" si="8"/>
        <v>1.772727273</v>
      </c>
      <c r="AC37" s="23">
        <f t="shared" si="9"/>
        <v>2.735227273</v>
      </c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9"/>
    </row>
    <row r="38" ht="22.5" customHeight="1">
      <c r="A38" s="24" t="s">
        <v>94</v>
      </c>
      <c r="B38" s="24">
        <v>18.6</v>
      </c>
      <c r="C38" s="24">
        <v>1.0</v>
      </c>
      <c r="D38" s="24" t="s">
        <v>58</v>
      </c>
      <c r="E38" s="24">
        <v>1.0</v>
      </c>
      <c r="F38" s="24">
        <v>14.0</v>
      </c>
      <c r="G38" s="24">
        <v>3.81</v>
      </c>
      <c r="H38" s="21">
        <f t="shared" si="1"/>
        <v>70.866</v>
      </c>
      <c r="I38" s="22">
        <f t="shared" si="25"/>
        <v>260.4</v>
      </c>
      <c r="J38" s="18">
        <v>20.0</v>
      </c>
      <c r="K38" s="18">
        <v>58.0</v>
      </c>
      <c r="L38" s="24"/>
      <c r="M38" s="24">
        <v>850.0</v>
      </c>
      <c r="N38" s="24">
        <v>1.0</v>
      </c>
      <c r="O38" s="24">
        <v>6.8</v>
      </c>
      <c r="P38" s="24">
        <v>0.5</v>
      </c>
      <c r="Q38" s="24">
        <v>3.0</v>
      </c>
      <c r="R38" s="22"/>
      <c r="S38" s="27">
        <v>0.42</v>
      </c>
      <c r="T38" s="24">
        <v>58.0</v>
      </c>
      <c r="U38" s="18">
        <v>1.3</v>
      </c>
      <c r="V38" s="22"/>
      <c r="W38" s="22">
        <f t="shared" si="3"/>
        <v>2880</v>
      </c>
      <c r="X38" s="22">
        <f t="shared" si="17"/>
        <v>33.3</v>
      </c>
      <c r="Y38" s="22">
        <f t="shared" si="5"/>
        <v>126.873</v>
      </c>
      <c r="Z38" s="22">
        <f>X38*F38</f>
        <v>466.2</v>
      </c>
      <c r="AA38" s="23">
        <f t="shared" si="7"/>
        <v>0.7903225806</v>
      </c>
      <c r="AB38" s="23">
        <f t="shared" si="8"/>
        <v>2.388235294</v>
      </c>
      <c r="AC38" s="23">
        <f t="shared" si="9"/>
        <v>3.178557875</v>
      </c>
      <c r="AD38" s="24"/>
      <c r="AE38" s="24"/>
      <c r="AF38" s="24"/>
      <c r="AG38" s="22"/>
      <c r="AH38" s="24"/>
      <c r="AI38" s="24"/>
      <c r="AJ38" s="22"/>
      <c r="AK38" s="25"/>
      <c r="AL38" s="25"/>
      <c r="AM38" s="25"/>
      <c r="AN38" s="25"/>
      <c r="AO38" s="25"/>
      <c r="AP38" s="25"/>
      <c r="AQ38" s="25"/>
      <c r="AR38" s="25"/>
      <c r="AS38" s="25"/>
      <c r="AT38" s="9"/>
    </row>
    <row r="39" ht="22.5" hidden="1" customHeight="1">
      <c r="A39" s="18" t="s">
        <v>95</v>
      </c>
      <c r="B39" s="18">
        <v>8.0</v>
      </c>
      <c r="C39" s="18">
        <v>1.0</v>
      </c>
      <c r="D39" s="18" t="s">
        <v>58</v>
      </c>
      <c r="E39" s="18">
        <v>1.0</v>
      </c>
      <c r="F39" s="18">
        <v>30.0</v>
      </c>
      <c r="G39" s="18">
        <v>7.94</v>
      </c>
      <c r="H39" s="21">
        <f t="shared" si="1"/>
        <v>63.52</v>
      </c>
      <c r="I39" s="22">
        <f t="shared" si="25"/>
        <v>240</v>
      </c>
      <c r="J39" s="18">
        <v>20.0</v>
      </c>
      <c r="K39" s="18">
        <v>58.0</v>
      </c>
      <c r="L39" s="18" t="s">
        <v>96</v>
      </c>
      <c r="M39" s="18">
        <v>700.0</v>
      </c>
      <c r="N39" s="18">
        <v>2.0</v>
      </c>
      <c r="O39" s="18">
        <v>6.5</v>
      </c>
      <c r="P39" s="18">
        <v>2.0</v>
      </c>
      <c r="Q39" s="18">
        <v>3.0</v>
      </c>
      <c r="R39" s="20"/>
      <c r="S39" s="18">
        <v>0.32</v>
      </c>
      <c r="T39" s="18">
        <v>37.0</v>
      </c>
      <c r="U39" s="20"/>
      <c r="V39" s="20"/>
      <c r="W39" s="22">
        <f t="shared" si="3"/>
        <v>1995</v>
      </c>
      <c r="X39" s="22">
        <f t="shared" si="17"/>
        <v>19.2</v>
      </c>
      <c r="Y39" s="22">
        <f t="shared" si="5"/>
        <v>152.448</v>
      </c>
      <c r="Z39" s="22">
        <f>X39*F39*C39</f>
        <v>576</v>
      </c>
      <c r="AA39" s="29"/>
      <c r="AB39" s="29"/>
      <c r="AC39" s="29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9"/>
    </row>
    <row r="40" ht="22.5" customHeight="1">
      <c r="A40" s="24" t="s">
        <v>97</v>
      </c>
      <c r="B40" s="24">
        <v>17.3</v>
      </c>
      <c r="C40" s="24">
        <v>1.0</v>
      </c>
      <c r="D40" s="24" t="s">
        <v>58</v>
      </c>
      <c r="E40" s="24">
        <v>1.0</v>
      </c>
      <c r="F40" s="24">
        <v>17.0</v>
      </c>
      <c r="G40" s="24">
        <f>3.81+(4*AG40%)</f>
        <v>4.19</v>
      </c>
      <c r="H40" s="21">
        <f t="shared" si="1"/>
        <v>72.487</v>
      </c>
      <c r="I40" s="22">
        <f t="shared" si="25"/>
        <v>294.1</v>
      </c>
      <c r="J40" s="18">
        <v>20.0</v>
      </c>
      <c r="K40" s="18">
        <v>58.0</v>
      </c>
      <c r="L40" s="24"/>
      <c r="M40" s="24">
        <v>775.0</v>
      </c>
      <c r="N40" s="24">
        <v>3.0</v>
      </c>
      <c r="O40" s="24">
        <v>6.3</v>
      </c>
      <c r="P40" s="24">
        <v>2.0</v>
      </c>
      <c r="Q40" s="24">
        <v>3.0</v>
      </c>
      <c r="R40" s="22"/>
      <c r="S40" s="27">
        <v>0.47</v>
      </c>
      <c r="T40" s="24">
        <v>58.0</v>
      </c>
      <c r="U40" s="18">
        <v>1.1</v>
      </c>
      <c r="V40" s="22"/>
      <c r="W40" s="22">
        <f t="shared" si="3"/>
        <v>2805</v>
      </c>
      <c r="X40" s="22">
        <f t="shared" si="17"/>
        <v>33.75</v>
      </c>
      <c r="Y40" s="22">
        <f t="shared" si="5"/>
        <v>141.4125</v>
      </c>
      <c r="Z40" s="22">
        <f>X40*F40</f>
        <v>573.75</v>
      </c>
      <c r="AA40" s="23">
        <f t="shared" ref="AA40:AA45" si="26">(Y40-H40)/H40</f>
        <v>0.950867052</v>
      </c>
      <c r="AB40" s="23">
        <f t="shared" ref="AB40:AB44" si="27">(W40-M40)/M40</f>
        <v>2.619354839</v>
      </c>
      <c r="AC40" s="23">
        <f t="shared" ref="AC40:AC44" si="28">AA40+AB40</f>
        <v>3.570221891</v>
      </c>
      <c r="AD40" s="24"/>
      <c r="AE40" s="24" t="s">
        <v>80</v>
      </c>
      <c r="AF40" s="24">
        <v>0.25</v>
      </c>
      <c r="AG40" s="22">
        <f>AF40*$M$3</f>
        <v>9.5</v>
      </c>
      <c r="AH40" s="24"/>
      <c r="AI40" s="24"/>
      <c r="AJ40" s="22"/>
      <c r="AK40" s="25"/>
      <c r="AL40" s="25"/>
      <c r="AM40" s="25"/>
      <c r="AN40" s="25"/>
      <c r="AO40" s="25"/>
      <c r="AP40" s="25"/>
      <c r="AQ40" s="25"/>
      <c r="AR40" s="25"/>
      <c r="AS40" s="25"/>
      <c r="AT40" s="9"/>
    </row>
    <row r="41" ht="22.5" customHeight="1">
      <c r="A41" s="18" t="s">
        <v>98</v>
      </c>
      <c r="B41" s="18">
        <v>6.3</v>
      </c>
      <c r="C41" s="18">
        <v>1.0</v>
      </c>
      <c r="D41" s="18" t="s">
        <v>58</v>
      </c>
      <c r="E41" s="18">
        <v>1.0</v>
      </c>
      <c r="F41" s="18">
        <v>30.0</v>
      </c>
      <c r="G41" s="18">
        <v>11.8</v>
      </c>
      <c r="H41" s="21">
        <f t="shared" si="1"/>
        <v>74.34</v>
      </c>
      <c r="I41" s="22">
        <f t="shared" si="25"/>
        <v>189</v>
      </c>
      <c r="J41" s="18">
        <v>14.0</v>
      </c>
      <c r="K41" s="18">
        <v>32.0</v>
      </c>
      <c r="L41" s="18"/>
      <c r="M41" s="18">
        <v>790.0</v>
      </c>
      <c r="N41" s="18">
        <v>2.5</v>
      </c>
      <c r="O41" s="18">
        <v>7.29</v>
      </c>
      <c r="P41" s="18">
        <v>2.0</v>
      </c>
      <c r="Q41" s="18">
        <v>3.0</v>
      </c>
      <c r="R41" s="20"/>
      <c r="S41" s="18">
        <v>0.165</v>
      </c>
      <c r="T41" s="18">
        <v>43.0</v>
      </c>
      <c r="U41" s="18">
        <v>1.1</v>
      </c>
      <c r="V41" s="20"/>
      <c r="W41" s="22">
        <f t="shared" si="3"/>
        <v>2295</v>
      </c>
      <c r="X41" s="22">
        <f t="shared" si="17"/>
        <v>12.075</v>
      </c>
      <c r="Y41" s="22">
        <f t="shared" si="5"/>
        <v>142.485</v>
      </c>
      <c r="Z41" s="22">
        <f t="shared" ref="Z41:Z42" si="29">X41*F41*C41</f>
        <v>362.25</v>
      </c>
      <c r="AA41" s="23">
        <f t="shared" si="26"/>
        <v>0.9166666667</v>
      </c>
      <c r="AB41" s="23">
        <f t="shared" si="27"/>
        <v>1.905063291</v>
      </c>
      <c r="AC41" s="23">
        <f t="shared" si="28"/>
        <v>2.821729958</v>
      </c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9"/>
    </row>
    <row r="42" ht="22.5" customHeight="1">
      <c r="A42" s="24" t="s">
        <v>99</v>
      </c>
      <c r="B42" s="24">
        <v>2.09</v>
      </c>
      <c r="C42" s="24">
        <v>8.0</v>
      </c>
      <c r="D42" s="24" t="s">
        <v>58</v>
      </c>
      <c r="E42" s="24">
        <v>8.0</v>
      </c>
      <c r="F42" s="24">
        <v>12.0</v>
      </c>
      <c r="G42" s="24">
        <v>4.76</v>
      </c>
      <c r="H42" s="21">
        <f t="shared" si="1"/>
        <v>79.5872</v>
      </c>
      <c r="I42" s="22">
        <f>F42*(B42*C42)</f>
        <v>200.64</v>
      </c>
      <c r="J42" s="18">
        <v>20.0</v>
      </c>
      <c r="K42" s="18">
        <v>58.0</v>
      </c>
      <c r="L42" s="24"/>
      <c r="M42" s="24">
        <v>700.0</v>
      </c>
      <c r="N42" s="24">
        <v>2.0</v>
      </c>
      <c r="O42" s="24">
        <v>7.6</v>
      </c>
      <c r="P42" s="24">
        <v>0.5</v>
      </c>
      <c r="Q42" s="24">
        <v>3.0</v>
      </c>
      <c r="R42" s="22"/>
      <c r="S42" s="27">
        <v>0.05</v>
      </c>
      <c r="T42" s="24">
        <v>37.0</v>
      </c>
      <c r="U42" s="18">
        <v>1.1</v>
      </c>
      <c r="V42" s="22"/>
      <c r="W42" s="22">
        <f t="shared" si="3"/>
        <v>1995</v>
      </c>
      <c r="X42" s="22">
        <f t="shared" si="17"/>
        <v>3.84</v>
      </c>
      <c r="Y42" s="22">
        <f t="shared" si="5"/>
        <v>146.2272</v>
      </c>
      <c r="Z42" s="22">
        <f t="shared" si="29"/>
        <v>368.64</v>
      </c>
      <c r="AA42" s="23">
        <f t="shared" si="26"/>
        <v>0.8373205742</v>
      </c>
      <c r="AB42" s="23">
        <f t="shared" si="27"/>
        <v>1.85</v>
      </c>
      <c r="AC42" s="23">
        <f t="shared" si="28"/>
        <v>2.687320574</v>
      </c>
      <c r="AD42" s="24"/>
      <c r="AE42" s="24"/>
      <c r="AF42" s="24"/>
      <c r="AG42" s="22"/>
      <c r="AH42" s="24"/>
      <c r="AI42" s="22"/>
      <c r="AJ42" s="22"/>
      <c r="AK42" s="25"/>
      <c r="AL42" s="25"/>
      <c r="AM42" s="25"/>
      <c r="AN42" s="25"/>
      <c r="AO42" s="25"/>
      <c r="AP42" s="25"/>
      <c r="AQ42" s="25"/>
      <c r="AR42" s="25"/>
      <c r="AS42" s="25"/>
      <c r="AT42" s="9"/>
    </row>
    <row r="43" ht="22.5" customHeight="1">
      <c r="A43" s="24" t="s">
        <v>100</v>
      </c>
      <c r="B43" s="24">
        <v>6.72</v>
      </c>
      <c r="C43" s="24">
        <v>1.0</v>
      </c>
      <c r="D43" s="24" t="s">
        <v>58</v>
      </c>
      <c r="E43" s="24">
        <v>1.0</v>
      </c>
      <c r="F43" s="24">
        <v>66.0</v>
      </c>
      <c r="G43" s="24">
        <v>11.9</v>
      </c>
      <c r="H43" s="21">
        <f t="shared" si="1"/>
        <v>79.968</v>
      </c>
      <c r="I43" s="22">
        <f t="shared" ref="I43:I45" si="30">F43*B43</f>
        <v>443.52</v>
      </c>
      <c r="J43" s="18">
        <v>20.0</v>
      </c>
      <c r="K43" s="18">
        <v>58.0</v>
      </c>
      <c r="L43" s="24"/>
      <c r="M43" s="24">
        <v>750.0</v>
      </c>
      <c r="N43" s="24">
        <v>2.0</v>
      </c>
      <c r="O43" s="24">
        <v>6.8</v>
      </c>
      <c r="P43" s="24">
        <v>0.5</v>
      </c>
      <c r="Q43" s="24">
        <v>2.0</v>
      </c>
      <c r="R43" s="22"/>
      <c r="S43" s="27">
        <v>0.2</v>
      </c>
      <c r="T43" s="24">
        <v>52.0</v>
      </c>
      <c r="U43" s="18">
        <v>1.1</v>
      </c>
      <c r="V43" s="22"/>
      <c r="W43" s="22">
        <f t="shared" si="3"/>
        <v>2570</v>
      </c>
      <c r="X43" s="22">
        <f t="shared" si="17"/>
        <v>13.72</v>
      </c>
      <c r="Y43" s="22">
        <f t="shared" si="5"/>
        <v>163.268</v>
      </c>
      <c r="Z43" s="22">
        <f t="shared" ref="Z43:Z45" si="31">X43*F43</f>
        <v>905.52</v>
      </c>
      <c r="AA43" s="23">
        <f t="shared" si="26"/>
        <v>1.041666667</v>
      </c>
      <c r="AB43" s="23">
        <f t="shared" si="27"/>
        <v>2.426666667</v>
      </c>
      <c r="AC43" s="23">
        <f t="shared" si="28"/>
        <v>3.468333333</v>
      </c>
      <c r="AD43" s="24"/>
      <c r="AE43" s="24"/>
      <c r="AF43" s="24"/>
      <c r="AG43" s="22"/>
      <c r="AH43" s="24"/>
      <c r="AI43" s="24"/>
      <c r="AJ43" s="22"/>
      <c r="AK43" s="25"/>
      <c r="AL43" s="25"/>
      <c r="AM43" s="25"/>
      <c r="AN43" s="25"/>
      <c r="AO43" s="25"/>
      <c r="AP43" s="25"/>
      <c r="AQ43" s="25"/>
      <c r="AR43" s="25"/>
      <c r="AS43" s="25"/>
      <c r="AT43" s="9"/>
    </row>
    <row r="44" ht="22.5" customHeight="1">
      <c r="A44" s="24" t="s">
        <v>101</v>
      </c>
      <c r="B44" s="24">
        <v>6.58</v>
      </c>
      <c r="C44" s="24">
        <v>1.0</v>
      </c>
      <c r="D44" s="24" t="s">
        <v>58</v>
      </c>
      <c r="E44" s="24">
        <v>1.0</v>
      </c>
      <c r="F44" s="24">
        <v>24.0</v>
      </c>
      <c r="G44" s="24">
        <v>14.3</v>
      </c>
      <c r="H44" s="21">
        <f t="shared" si="1"/>
        <v>94.094</v>
      </c>
      <c r="I44" s="22">
        <f t="shared" si="30"/>
        <v>157.92</v>
      </c>
      <c r="J44" s="18">
        <v>15.0</v>
      </c>
      <c r="K44" s="18">
        <v>33.0</v>
      </c>
      <c r="L44" s="24"/>
      <c r="M44" s="24">
        <v>750.0</v>
      </c>
      <c r="N44" s="24">
        <v>2.0</v>
      </c>
      <c r="O44" s="24">
        <v>7.3</v>
      </c>
      <c r="P44" s="24">
        <v>0.5</v>
      </c>
      <c r="Q44" s="24">
        <v>4.0</v>
      </c>
      <c r="R44" s="22"/>
      <c r="S44" s="24">
        <v>0.2</v>
      </c>
      <c r="T44" s="24">
        <v>35.0</v>
      </c>
      <c r="U44" s="18">
        <v>1.1</v>
      </c>
      <c r="V44" s="22"/>
      <c r="W44" s="22">
        <f t="shared" si="3"/>
        <v>1975</v>
      </c>
      <c r="X44" s="22">
        <f t="shared" si="17"/>
        <v>13.58</v>
      </c>
      <c r="Y44" s="22">
        <f t="shared" si="5"/>
        <v>194.194</v>
      </c>
      <c r="Z44" s="22">
        <f t="shared" si="31"/>
        <v>325.92</v>
      </c>
      <c r="AA44" s="23">
        <f t="shared" si="26"/>
        <v>1.063829787</v>
      </c>
      <c r="AB44" s="23">
        <f t="shared" si="27"/>
        <v>1.633333333</v>
      </c>
      <c r="AC44" s="23">
        <f t="shared" si="28"/>
        <v>2.697163121</v>
      </c>
      <c r="AD44" s="24"/>
      <c r="AE44" s="24" t="s">
        <v>69</v>
      </c>
      <c r="AF44" s="24">
        <v>0.023</v>
      </c>
      <c r="AG44" s="22">
        <f>AF44*$M$3</f>
        <v>0.874</v>
      </c>
      <c r="AH44" s="24"/>
      <c r="AI44" s="22"/>
      <c r="AJ44" s="22"/>
      <c r="AK44" s="25"/>
      <c r="AL44" s="25"/>
      <c r="AM44" s="25"/>
      <c r="AN44" s="25"/>
      <c r="AO44" s="25"/>
      <c r="AP44" s="25"/>
      <c r="AQ44" s="25"/>
      <c r="AR44" s="25"/>
      <c r="AS44" s="25"/>
      <c r="AT44" s="9"/>
    </row>
    <row r="45" ht="22.5" customHeight="1">
      <c r="A45" s="24"/>
      <c r="B45" s="24">
        <v>22.0</v>
      </c>
      <c r="C45" s="24">
        <v>1.0</v>
      </c>
      <c r="D45" s="24"/>
      <c r="E45" s="24">
        <v>1.0</v>
      </c>
      <c r="F45" s="24">
        <v>15.0</v>
      </c>
      <c r="G45" s="24">
        <v>2.63</v>
      </c>
      <c r="H45" s="21">
        <f t="shared" si="1"/>
        <v>57.86</v>
      </c>
      <c r="I45" s="22">
        <f t="shared" si="30"/>
        <v>330</v>
      </c>
      <c r="J45" s="24">
        <v>25.0</v>
      </c>
      <c r="K45" s="24">
        <v>25.0</v>
      </c>
      <c r="L45" s="24"/>
      <c r="M45" s="24"/>
      <c r="N45" s="24"/>
      <c r="O45" s="24"/>
      <c r="P45" s="24"/>
      <c r="Q45" s="24"/>
      <c r="R45" s="22"/>
      <c r="S45" s="27">
        <v>0.6</v>
      </c>
      <c r="T45" s="24"/>
      <c r="U45" s="24">
        <v>1.1</v>
      </c>
      <c r="V45" s="22"/>
      <c r="W45" s="22"/>
      <c r="X45" s="22">
        <f t="shared" si="17"/>
        <v>43</v>
      </c>
      <c r="Y45" s="22">
        <f t="shared" si="5"/>
        <v>113.09</v>
      </c>
      <c r="Z45" s="22">
        <f t="shared" si="31"/>
        <v>645</v>
      </c>
      <c r="AA45" s="23">
        <f t="shared" si="26"/>
        <v>0.9545454545</v>
      </c>
      <c r="AB45" s="30"/>
      <c r="AC45" s="30"/>
      <c r="AD45" s="24"/>
      <c r="AE45" s="24"/>
      <c r="AF45" s="24"/>
      <c r="AG45" s="22"/>
      <c r="AH45" s="24"/>
      <c r="AI45" s="22"/>
      <c r="AJ45" s="22"/>
      <c r="AK45" s="25"/>
      <c r="AL45" s="25"/>
      <c r="AM45" s="25"/>
      <c r="AN45" s="25"/>
      <c r="AO45" s="25"/>
      <c r="AP45" s="25"/>
      <c r="AQ45" s="25"/>
      <c r="AR45" s="25"/>
      <c r="AS45" s="25"/>
      <c r="AT45" s="9"/>
    </row>
    <row r="46" ht="22.5" customHeight="1">
      <c r="A46" s="24"/>
      <c r="B46" s="24"/>
      <c r="C46" s="24"/>
      <c r="D46" s="24"/>
      <c r="E46" s="24"/>
      <c r="F46" s="24"/>
      <c r="G46" s="24"/>
      <c r="H46" s="21"/>
      <c r="I46" s="22"/>
      <c r="J46" s="24"/>
      <c r="K46" s="24"/>
      <c r="L46" s="24"/>
      <c r="M46" s="24"/>
      <c r="N46" s="24"/>
      <c r="O46" s="24"/>
      <c r="P46" s="24"/>
      <c r="Q46" s="24"/>
      <c r="R46" s="22"/>
      <c r="S46" s="27"/>
      <c r="T46" s="24"/>
      <c r="U46" s="22"/>
      <c r="V46" s="22"/>
      <c r="W46" s="22"/>
      <c r="X46" s="22"/>
      <c r="Y46" s="22"/>
      <c r="Z46" s="22"/>
      <c r="AA46" s="30"/>
      <c r="AB46" s="30"/>
      <c r="AC46" s="30"/>
      <c r="AD46" s="24"/>
      <c r="AE46" s="24"/>
      <c r="AF46" s="24"/>
      <c r="AG46" s="22"/>
      <c r="AH46" s="24"/>
      <c r="AI46" s="24"/>
      <c r="AJ46" s="22"/>
      <c r="AK46" s="25"/>
      <c r="AL46" s="25"/>
      <c r="AM46" s="25"/>
      <c r="AN46" s="25"/>
      <c r="AO46" s="25"/>
      <c r="AP46" s="25"/>
      <c r="AQ46" s="25"/>
      <c r="AR46" s="25"/>
      <c r="AS46" s="25"/>
      <c r="AT46" s="4"/>
    </row>
    <row r="47" ht="22.5" customHeight="1">
      <c r="A47" s="24"/>
      <c r="B47" s="24"/>
      <c r="C47" s="24"/>
      <c r="D47" s="24"/>
      <c r="E47" s="24"/>
      <c r="F47" s="24"/>
      <c r="G47" s="24"/>
      <c r="H47" s="21"/>
      <c r="I47" s="22"/>
      <c r="J47" s="24"/>
      <c r="K47" s="24"/>
      <c r="L47" s="24"/>
      <c r="M47" s="24"/>
      <c r="N47" s="24"/>
      <c r="O47" s="24"/>
      <c r="P47" s="24"/>
      <c r="Q47" s="24"/>
      <c r="R47" s="22"/>
      <c r="S47" s="27"/>
      <c r="T47" s="24"/>
      <c r="U47" s="22"/>
      <c r="V47" s="22"/>
      <c r="W47" s="22"/>
      <c r="X47" s="22"/>
      <c r="Y47" s="22"/>
      <c r="Z47" s="22"/>
      <c r="AA47" s="30"/>
      <c r="AB47" s="30"/>
      <c r="AC47" s="30"/>
      <c r="AD47" s="24"/>
      <c r="AE47" s="24"/>
      <c r="AF47" s="24"/>
      <c r="AG47" s="22"/>
      <c r="AH47" s="24"/>
      <c r="AI47" s="24"/>
      <c r="AJ47" s="22"/>
      <c r="AK47" s="25"/>
      <c r="AL47" s="25"/>
      <c r="AM47" s="25"/>
      <c r="AN47" s="25"/>
      <c r="AO47" s="25"/>
      <c r="AP47" s="25"/>
      <c r="AQ47" s="25"/>
      <c r="AR47" s="25"/>
      <c r="AS47" s="25"/>
      <c r="AT47" s="4"/>
    </row>
    <row r="48" ht="22.5" customHeight="1">
      <c r="A48" s="24"/>
      <c r="B48" s="24"/>
      <c r="C48" s="24"/>
      <c r="D48" s="24"/>
      <c r="E48" s="24"/>
      <c r="F48" s="24"/>
      <c r="G48" s="24"/>
      <c r="H48" s="21"/>
      <c r="I48" s="22"/>
      <c r="J48" s="24"/>
      <c r="K48" s="24"/>
      <c r="L48" s="24"/>
      <c r="M48" s="24"/>
      <c r="N48" s="24"/>
      <c r="O48" s="24"/>
      <c r="P48" s="24"/>
      <c r="Q48" s="24"/>
      <c r="R48" s="22"/>
      <c r="S48" s="24"/>
      <c r="T48" s="24"/>
      <c r="U48" s="22"/>
      <c r="V48" s="22"/>
      <c r="W48" s="22"/>
      <c r="X48" s="22"/>
      <c r="Y48" s="22"/>
      <c r="Z48" s="22"/>
      <c r="AA48" s="30"/>
      <c r="AB48" s="30"/>
      <c r="AC48" s="30"/>
      <c r="AD48" s="24"/>
      <c r="AE48" s="24"/>
      <c r="AF48" s="22"/>
      <c r="AG48" s="22"/>
      <c r="AH48" s="24"/>
      <c r="AI48" s="22"/>
      <c r="AJ48" s="22"/>
      <c r="AK48" s="25"/>
      <c r="AL48" s="25"/>
      <c r="AM48" s="25"/>
      <c r="AN48" s="25"/>
      <c r="AO48" s="25"/>
      <c r="AP48" s="25"/>
      <c r="AQ48" s="25"/>
      <c r="AR48" s="25"/>
      <c r="AS48" s="25"/>
      <c r="AT48" s="4"/>
    </row>
    <row r="49">
      <c r="A49" s="7"/>
      <c r="B49" s="31"/>
      <c r="C49" s="31"/>
      <c r="D49" s="31"/>
      <c r="E49" s="32"/>
      <c r="F49" s="31"/>
      <c r="G49" s="31"/>
      <c r="H49" s="31"/>
      <c r="I49" s="33"/>
      <c r="J49" s="34"/>
      <c r="K49" s="34">
        <f t="shared" ref="K49:M49" si="32">AVERAGE(M6:M27)</f>
        <v>740.9090909</v>
      </c>
      <c r="L49" s="34">
        <f t="shared" si="32"/>
        <v>1.772727273</v>
      </c>
      <c r="M49" s="34">
        <f t="shared" si="32"/>
        <v>7.2</v>
      </c>
      <c r="N49" s="35"/>
      <c r="O49" s="3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>
      <c r="A50" s="4"/>
      <c r="B50" s="31"/>
      <c r="C50" s="31"/>
      <c r="D50" s="31"/>
      <c r="E50" s="32"/>
      <c r="F50" s="31"/>
      <c r="G50" s="31"/>
      <c r="H50" s="31"/>
      <c r="I50" s="33"/>
      <c r="J50" s="34"/>
      <c r="K50" s="34">
        <f>K49*0.11</f>
        <v>81.5</v>
      </c>
      <c r="L50" s="34"/>
      <c r="M50" s="34"/>
      <c r="N50" s="35"/>
      <c r="O50" s="3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>
      <c r="A51" s="4"/>
      <c r="B51" s="31"/>
      <c r="C51" s="31"/>
      <c r="D51" s="31"/>
      <c r="E51" s="32"/>
      <c r="F51" s="31"/>
      <c r="G51" s="31"/>
      <c r="H51" s="31"/>
      <c r="I51" s="33"/>
      <c r="J51" s="34"/>
      <c r="K51" s="34">
        <f>K50/15</f>
        <v>5.433333333</v>
      </c>
      <c r="L51" s="34"/>
      <c r="M51" s="34"/>
      <c r="N51" s="35"/>
      <c r="O51" s="3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>
      <c r="A52" s="4"/>
      <c r="B52" s="31"/>
      <c r="C52" s="31"/>
      <c r="D52" s="31"/>
      <c r="E52" s="32"/>
      <c r="F52" s="31"/>
      <c r="G52" s="31"/>
      <c r="H52" s="31"/>
      <c r="I52" s="33"/>
      <c r="J52" s="34"/>
      <c r="K52" s="34">
        <f>500/K51</f>
        <v>92.02453988</v>
      </c>
      <c r="L52" s="34"/>
      <c r="M52" s="34"/>
      <c r="N52" s="35"/>
      <c r="O52" s="3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>
      <c r="A53" s="4"/>
      <c r="B53" s="31"/>
      <c r="C53" s="31"/>
      <c r="D53" s="31"/>
      <c r="E53" s="32"/>
      <c r="F53" s="31"/>
      <c r="G53" s="31"/>
      <c r="H53" s="31"/>
      <c r="I53" s="33"/>
      <c r="J53" s="34"/>
      <c r="K53" s="34">
        <f>K50/20</f>
        <v>4.075</v>
      </c>
      <c r="L53" s="34"/>
      <c r="M53" s="34"/>
      <c r="N53" s="35"/>
      <c r="O53" s="35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>
      <c r="A54" s="4"/>
      <c r="B54" s="31"/>
      <c r="C54" s="31"/>
      <c r="D54" s="31"/>
      <c r="E54" s="32"/>
      <c r="F54" s="31"/>
      <c r="G54" s="31"/>
      <c r="H54" s="31"/>
      <c r="I54" s="33"/>
      <c r="J54" s="34"/>
      <c r="K54" s="34">
        <f>500/K53</f>
        <v>122.6993865</v>
      </c>
      <c r="L54" s="34"/>
      <c r="M54" s="34"/>
      <c r="N54" s="35"/>
      <c r="O54" s="3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>
      <c r="A55" s="4"/>
      <c r="B55" s="31"/>
      <c r="C55" s="31"/>
      <c r="D55" s="31"/>
      <c r="E55" s="32"/>
      <c r="F55" s="31"/>
      <c r="G55" s="31"/>
      <c r="H55" s="31"/>
      <c r="I55" s="33"/>
      <c r="J55" s="33"/>
      <c r="K55" s="33"/>
      <c r="L55" s="33"/>
      <c r="M55" s="3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>
      <c r="A56" s="4"/>
      <c r="B56" s="31"/>
      <c r="C56" s="31"/>
      <c r="D56" s="31"/>
      <c r="E56" s="32"/>
      <c r="F56" s="31"/>
      <c r="G56" s="31"/>
      <c r="H56" s="31"/>
      <c r="I56" s="33"/>
      <c r="J56" s="33"/>
      <c r="K56" s="33"/>
      <c r="L56" s="33"/>
      <c r="M56" s="3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>
      <c r="A57" s="4"/>
      <c r="B57" s="31"/>
      <c r="C57" s="31"/>
      <c r="D57" s="31"/>
      <c r="E57" s="32"/>
      <c r="F57" s="31"/>
      <c r="G57" s="31"/>
      <c r="H57" s="31"/>
      <c r="I57" s="33"/>
      <c r="J57" s="33"/>
      <c r="K57" s="33"/>
      <c r="L57" s="33"/>
      <c r="M57" s="3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>
      <c r="A58" s="4"/>
      <c r="B58" s="31"/>
      <c r="C58" s="31"/>
      <c r="D58" s="31"/>
      <c r="E58" s="32"/>
      <c r="F58" s="31"/>
      <c r="G58" s="31"/>
      <c r="H58" s="3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>
      <c r="A59" s="4"/>
      <c r="B59" s="31"/>
      <c r="C59" s="31"/>
      <c r="D59" s="31"/>
      <c r="E59" s="32"/>
      <c r="F59" s="31"/>
      <c r="G59" s="31"/>
      <c r="H59" s="3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>
      <c r="A60" s="4"/>
      <c r="B60" s="31"/>
      <c r="C60" s="31"/>
      <c r="D60" s="31"/>
      <c r="E60" s="32"/>
      <c r="F60" s="31"/>
      <c r="G60" s="31"/>
      <c r="H60" s="3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>
      <c r="A61" s="4"/>
      <c r="B61" s="31"/>
      <c r="C61" s="31"/>
      <c r="D61" s="31"/>
      <c r="E61" s="32"/>
      <c r="F61" s="31"/>
      <c r="G61" s="31"/>
      <c r="H61" s="31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>
      <c r="A62" s="4"/>
      <c r="B62" s="31"/>
      <c r="C62" s="31"/>
      <c r="D62" s="31"/>
      <c r="E62" s="32"/>
      <c r="F62" s="31"/>
      <c r="G62" s="31"/>
      <c r="H62" s="3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>
      <c r="A63" s="4"/>
      <c r="B63" s="31"/>
      <c r="C63" s="31"/>
      <c r="D63" s="31"/>
      <c r="E63" s="32"/>
      <c r="F63" s="31"/>
      <c r="G63" s="31"/>
      <c r="H63" s="3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>
      <c r="A64" s="4"/>
      <c r="B64" s="31"/>
      <c r="C64" s="31"/>
      <c r="D64" s="31"/>
      <c r="E64" s="32"/>
      <c r="F64" s="31"/>
      <c r="G64" s="31"/>
      <c r="H64" s="31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>
      <c r="A65" s="4"/>
      <c r="B65" s="31"/>
      <c r="C65" s="31"/>
      <c r="D65" s="31"/>
      <c r="E65" s="32"/>
      <c r="F65" s="31"/>
      <c r="G65" s="31"/>
      <c r="H65" s="3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>
      <c r="A66" s="4"/>
      <c r="B66" s="31"/>
      <c r="C66" s="31"/>
      <c r="D66" s="31"/>
      <c r="E66" s="32"/>
      <c r="F66" s="31"/>
      <c r="G66" s="31"/>
      <c r="H66" s="31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>
      <c r="A67" s="4"/>
      <c r="B67" s="31"/>
      <c r="C67" s="31"/>
      <c r="D67" s="31"/>
      <c r="E67" s="32"/>
      <c r="F67" s="31"/>
      <c r="G67" s="31"/>
      <c r="H67" s="3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>
      <c r="A68" s="4"/>
      <c r="B68" s="31"/>
      <c r="C68" s="31"/>
      <c r="D68" s="31"/>
      <c r="E68" s="32"/>
      <c r="F68" s="31"/>
      <c r="G68" s="31"/>
      <c r="H68" s="3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>
      <c r="A69" s="4"/>
      <c r="B69" s="31"/>
      <c r="C69" s="31"/>
      <c r="D69" s="31"/>
      <c r="E69" s="32"/>
      <c r="F69" s="31"/>
      <c r="G69" s="31"/>
      <c r="H69" s="3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>
      <c r="A70" s="4"/>
      <c r="B70" s="31"/>
      <c r="C70" s="31"/>
      <c r="D70" s="31"/>
      <c r="E70" s="32"/>
      <c r="F70" s="31"/>
      <c r="G70" s="31"/>
      <c r="H70" s="3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</row>
  </sheetData>
  <customSheetViews>
    <customSheetView guid="{126F3014-2685-413E-B86C-F74A4F0E307E}" filter="1" showAutoFilter="1">
      <autoFilter ref="$A$5:$Y$33">
        <sortState ref="A5:Y33">
          <sortCondition ref="H5:H33"/>
          <sortCondition ref="D5:D33"/>
        </sortState>
      </autoFilter>
    </customSheetView>
    <customSheetView guid="{F11D4AF8-3A33-4DA4-BD38-B0AE496F4BA9}" filter="1" showAutoFilter="1">
      <autoFilter ref="$A$5:$Y$27">
        <sortState ref="A5:Y27">
          <sortCondition ref="H5:H27"/>
          <sortCondition ref="Y5:Y27"/>
          <sortCondition ref="W5:W27"/>
          <sortCondition ref="M5:M27"/>
        </sortState>
      </autoFilter>
    </customSheetView>
    <customSheetView guid="{BCA811B6-4623-4358-9129-9703F2E0C9BA}" filter="1" showAutoFilter="1">
      <autoFilter ref="$A$5:$Y$27">
        <sortState ref="A5:Y27">
          <sortCondition ref="A5:A27"/>
          <sortCondition ref="Y5:Y27"/>
        </sortState>
      </autoFilter>
    </customSheetView>
  </customSheetViews>
  <mergeCells count="2">
    <mergeCell ref="C1:K3"/>
    <mergeCell ref="Y3:AA3"/>
  </mergeCells>
  <conditionalFormatting sqref="M6:M48">
    <cfRule type="colorScale" priority="1">
      <colorScale>
        <cfvo type="formula" val="600"/>
        <cfvo type="percent" val="50"/>
        <cfvo type="formula" val="900"/>
        <color rgb="FF660000"/>
        <color rgb="FF000000"/>
        <color rgb="FF274E13"/>
      </colorScale>
    </cfRule>
  </conditionalFormatting>
  <conditionalFormatting sqref="N6:N48">
    <cfRule type="colorScale" priority="2">
      <colorScale>
        <cfvo type="formula" val="1"/>
        <cfvo type="percent" val="50"/>
        <cfvo type="formula" val="4"/>
        <color rgb="FF660000"/>
        <color rgb="FF000000"/>
        <color rgb="FF274E13"/>
      </colorScale>
    </cfRule>
  </conditionalFormatting>
  <conditionalFormatting sqref="O6:O48">
    <cfRule type="colorScale" priority="3">
      <colorScale>
        <cfvo type="formula" val="6"/>
        <cfvo type="percent" val="50"/>
        <cfvo type="formula" val="9"/>
        <color rgb="FF660000"/>
        <color rgb="FF000000"/>
        <color rgb="FF274E13"/>
      </colorScale>
    </cfRule>
  </conditionalFormatting>
  <conditionalFormatting sqref="P6:P48">
    <cfRule type="colorScale" priority="4">
      <colorScale>
        <cfvo type="formula" val="0"/>
        <cfvo type="percentile" val="50"/>
        <cfvo type="formula" val="3.5"/>
        <color rgb="FF660000"/>
        <color rgb="FF000000"/>
        <color rgb="FF274E13"/>
      </colorScale>
    </cfRule>
  </conditionalFormatting>
  <conditionalFormatting sqref="Q6:Q48">
    <cfRule type="colorScale" priority="5">
      <colorScale>
        <cfvo type="formula" val="2"/>
        <cfvo type="percentile" val="50"/>
        <cfvo type="max"/>
        <color rgb="FF660000"/>
        <color rgb="FF000000"/>
        <color rgb="FF274E13"/>
      </colorScale>
    </cfRule>
  </conditionalFormatting>
  <conditionalFormatting sqref="T6:T48">
    <cfRule type="colorScale" priority="6">
      <colorScale>
        <cfvo type="formula" val="28"/>
        <cfvo type="percentile" val="50"/>
        <cfvo type="formula" val="63"/>
        <color rgb="FF660000"/>
        <color rgb="FF000000"/>
        <color rgb="FF274E13"/>
      </colorScale>
    </cfRule>
  </conditionalFormatting>
  <conditionalFormatting sqref="W6:W48">
    <cfRule type="colorScale" priority="7">
      <colorScale>
        <cfvo type="formula" val="1600"/>
        <cfvo type="percentile" val="50"/>
        <cfvo type="formula" val="3200"/>
        <color rgb="FF660000"/>
        <color rgb="FF000000"/>
        <color rgb="FF274E13"/>
      </colorScale>
    </cfRule>
  </conditionalFormatting>
  <conditionalFormatting sqref="H6:H48">
    <cfRule type="colorScale" priority="8">
      <colorScale>
        <cfvo type="formula" val="43"/>
        <cfvo type="percentile" val="50"/>
        <cfvo type="max"/>
        <color rgb="FF660000"/>
        <color rgb="FF000000"/>
        <color rgb="FF274E13"/>
      </colorScale>
    </cfRule>
  </conditionalFormatting>
  <conditionalFormatting sqref="M3">
    <cfRule type="colorScale" priority="9">
      <colorScale>
        <cfvo type="formula" val="0"/>
        <cfvo type="formula" val="300"/>
        <color rgb="FF000000"/>
        <color rgb="FF9900FF"/>
      </colorScale>
    </cfRule>
  </conditionalFormatting>
  <conditionalFormatting sqref="Y6:Y48">
    <cfRule type="colorScale" priority="10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I6:I48">
    <cfRule type="colorScale" priority="11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Z6:Z48">
    <cfRule type="colorScale" priority="12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W34">
    <cfRule type="notContainsBlanks" dxfId="4" priority="13">
      <formula>LEN(TRIM(W34))&gt;0</formula>
    </cfRule>
  </conditionalFormatting>
  <conditionalFormatting sqref="J6:J42">
    <cfRule type="colorScale" priority="14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K6:K42">
    <cfRule type="colorScale" priority="15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AA6:AA48">
    <cfRule type="colorScale" priority="16">
      <colorScale>
        <cfvo type="min"/>
        <cfvo type="percent" val="50"/>
        <cfvo type="max"/>
        <color rgb="FF660000"/>
        <color rgb="FF000000"/>
        <color rgb="FF274E13"/>
      </colorScale>
    </cfRule>
  </conditionalFormatting>
  <conditionalFormatting sqref="AB6:AB48">
    <cfRule type="colorScale" priority="17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AC6:AC48">
    <cfRule type="colorScale" priority="18">
      <colorScale>
        <cfvo type="min"/>
        <cfvo type="percentile" val="50"/>
        <cfvo type="max"/>
        <color rgb="FF5B0F00"/>
        <color rgb="FF000000"/>
        <color rgb="FF274E13"/>
      </colorScale>
    </cfRule>
  </conditionalFormatting>
  <conditionalFormatting sqref="U6:U48">
    <cfRule type="colorScale" priority="19">
      <colorScale>
        <cfvo type="formula" val="1.1"/>
        <cfvo type="formula" val="1.3"/>
        <color rgb="FF660000"/>
        <color rgb="FF274E13"/>
      </colorScale>
    </cfRule>
  </conditionalFormatting>
  <conditionalFormatting sqref="B2">
    <cfRule type="notContainsBlanks" dxfId="4" priority="20">
      <formula>LEN(TRIM(B2))&gt;0</formula>
    </cfRule>
  </conditionalFormatting>
  <dataValidations>
    <dataValidation type="custom" allowBlank="1" showDropDown="1" sqref="AA6:AC48">
      <formula1>AND(ISNUMBER(AA6),(NOT(OR(NOT(ISERROR(DATEVALUE(AA6))), AND(ISNUMBER(AA6), LEFT(CELL("format", AA6))="D")))))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3" max="3" width="13.13"/>
    <col customWidth="1" min="4" max="4" width="18.63"/>
    <col customWidth="1" min="5" max="5" width="13.38"/>
    <col customWidth="1" min="6" max="6" width="13.25"/>
    <col customWidth="1" min="7" max="7" width="13.88"/>
    <col customWidth="1" min="8" max="8" width="9.75"/>
    <col customWidth="1" min="9" max="9" width="13.0"/>
    <col customWidth="1" min="10" max="10" width="10.0"/>
    <col customWidth="1" min="11" max="11" width="9.25"/>
    <col customWidth="1" min="12" max="12" width="10.88"/>
    <col customWidth="1" min="13" max="13" width="16.63"/>
    <col customWidth="1" min="14" max="14" width="8.88"/>
    <col customWidth="1" min="15" max="15" width="10.38"/>
    <col customWidth="1" min="16" max="16" width="9.25"/>
    <col customWidth="1" min="17" max="17" width="7.38"/>
    <col customWidth="1" min="20" max="20" width="14.0"/>
  </cols>
  <sheetData>
    <row r="1">
      <c r="A1" s="36" t="s">
        <v>102</v>
      </c>
      <c r="B1" s="37"/>
      <c r="C1" s="38"/>
      <c r="D1" s="37"/>
      <c r="E1" s="38" t="s">
        <v>103</v>
      </c>
      <c r="F1" s="39">
        <v>0.13</v>
      </c>
      <c r="G1" s="40"/>
      <c r="H1" s="41" t="s">
        <v>104</v>
      </c>
      <c r="I1" s="42">
        <v>0.5</v>
      </c>
      <c r="J1" s="40"/>
      <c r="K1" s="43"/>
      <c r="L1" s="2"/>
      <c r="M1" s="44"/>
      <c r="N1" s="45"/>
      <c r="O1" s="46"/>
      <c r="P1" s="47"/>
      <c r="Q1" s="48" t="s">
        <v>105</v>
      </c>
      <c r="R1" s="49"/>
      <c r="S1" s="50" t="s">
        <v>106</v>
      </c>
      <c r="T1" s="51" t="s">
        <v>107</v>
      </c>
      <c r="U1" s="51" t="s">
        <v>80</v>
      </c>
      <c r="V1" s="51" t="s">
        <v>108</v>
      </c>
      <c r="W1" s="52" t="s">
        <v>109</v>
      </c>
      <c r="X1" s="47"/>
      <c r="Y1" s="47"/>
      <c r="Z1" s="47"/>
    </row>
    <row r="2">
      <c r="A2" s="53" t="s">
        <v>110</v>
      </c>
      <c r="B2" s="43" t="s">
        <v>97</v>
      </c>
      <c r="C2" s="43" t="s">
        <v>111</v>
      </c>
      <c r="D2" s="43">
        <f>VLOOKUP(B2, Heroes!$A$6:$H$48, 2, FALSE)</f>
        <v>17.3</v>
      </c>
      <c r="E2" s="40" t="s">
        <v>112</v>
      </c>
      <c r="F2" s="54">
        <v>0.0</v>
      </c>
      <c r="G2" s="40"/>
      <c r="H2" s="55" t="s">
        <v>113</v>
      </c>
      <c r="J2" s="56"/>
      <c r="K2" s="2"/>
      <c r="L2" s="2"/>
      <c r="M2" s="43" t="s">
        <v>114</v>
      </c>
      <c r="N2" s="43"/>
      <c r="O2" s="57">
        <f>VLOOKUP(B2, Heroes!$A$6:$S$48, 19, FALSE)*B3</f>
        <v>14.1</v>
      </c>
      <c r="P2" s="47"/>
      <c r="Q2" s="58" t="s">
        <v>115</v>
      </c>
      <c r="R2" s="59"/>
      <c r="S2" s="60">
        <v>1.0</v>
      </c>
      <c r="T2" s="61">
        <f t="shared" ref="T2:T52" si="1">($D$8+(($O$3*(S2/100))*$N$7))*($F$8*-1)+($D$8+(($O$3*(S2/100))*$N$7))</f>
        <v>83.7154458</v>
      </c>
      <c r="U2" s="62">
        <f t="shared" ref="U2:U52" si="2">($N$7*(1+S2/100)*$N$6)*($F$8*-1)+($N$7*(1+S2/100)*$N$6)
</f>
        <v>83.7154458</v>
      </c>
      <c r="V2" s="63">
        <f t="shared" ref="V2:V52" si="3">$D$8*(($F$8-S2/100)*-1)+$D$8</f>
        <v>84.20224</v>
      </c>
      <c r="W2" s="64">
        <f>(N6+N6*1.25)*(F8*-1)+(N6+N6*1.25)</f>
        <v>44.5095</v>
      </c>
      <c r="X2" s="47"/>
      <c r="Y2" s="47"/>
      <c r="Z2" s="47"/>
    </row>
    <row r="3">
      <c r="A3" s="53" t="s">
        <v>116</v>
      </c>
      <c r="B3" s="43">
        <v>30.0</v>
      </c>
      <c r="C3" s="43" t="s">
        <v>10</v>
      </c>
      <c r="D3" s="43">
        <f>VLOOKUP(B2, Heroes!$A$6:$H$48, 3, FALSE)</f>
        <v>1</v>
      </c>
      <c r="E3" s="40" t="s">
        <v>117</v>
      </c>
      <c r="F3" s="54">
        <v>0.0</v>
      </c>
      <c r="G3" s="40"/>
      <c r="H3" s="2"/>
      <c r="I3" s="2"/>
      <c r="J3" s="2"/>
      <c r="K3" s="2"/>
      <c r="L3" s="2"/>
      <c r="M3" s="43" t="s">
        <v>118</v>
      </c>
      <c r="N3" s="47"/>
      <c r="O3" s="65">
        <f>O2+D2</f>
        <v>31.4</v>
      </c>
      <c r="P3" s="47"/>
      <c r="Q3" s="66" t="s">
        <v>119</v>
      </c>
      <c r="R3" s="67"/>
      <c r="S3" s="60">
        <v>2.0</v>
      </c>
      <c r="T3" s="61">
        <f t="shared" si="1"/>
        <v>84.5443116</v>
      </c>
      <c r="U3" s="62">
        <f t="shared" si="2"/>
        <v>84.5443116</v>
      </c>
      <c r="V3" s="63">
        <f t="shared" si="3"/>
        <v>85.5179</v>
      </c>
      <c r="W3" s="68" t="s">
        <v>120</v>
      </c>
      <c r="X3" s="47"/>
      <c r="Y3" s="47"/>
      <c r="Z3" s="47"/>
    </row>
    <row r="4">
      <c r="A4" s="69"/>
      <c r="B4" s="43"/>
      <c r="C4" s="43" t="s">
        <v>121</v>
      </c>
      <c r="D4" s="43">
        <f>VLOOKUP(B2, Heroes!$A$6:$H$48, 7, FALSE)</f>
        <v>4.19</v>
      </c>
      <c r="E4" s="40" t="s">
        <v>122</v>
      </c>
      <c r="F4" s="54">
        <v>0.0</v>
      </c>
      <c r="G4" s="40"/>
      <c r="H4" s="40" t="s">
        <v>123</v>
      </c>
      <c r="I4" s="40" t="s">
        <v>124</v>
      </c>
      <c r="J4" s="40" t="s">
        <v>125</v>
      </c>
      <c r="K4" s="2"/>
      <c r="L4" s="2"/>
      <c r="M4" s="47"/>
      <c r="N4" s="47"/>
      <c r="O4" s="70"/>
      <c r="P4" s="47"/>
      <c r="Q4" s="47"/>
      <c r="R4" s="47"/>
      <c r="S4" s="60">
        <v>3.0</v>
      </c>
      <c r="T4" s="61">
        <f t="shared" si="1"/>
        <v>85.3731774</v>
      </c>
      <c r="U4" s="62">
        <f t="shared" si="2"/>
        <v>85.3731774</v>
      </c>
      <c r="V4" s="63">
        <f t="shared" si="3"/>
        <v>86.83356</v>
      </c>
      <c r="W4" s="64">
        <f>W2/4</f>
        <v>11.127375</v>
      </c>
      <c r="X4" s="47"/>
      <c r="Y4" s="47"/>
      <c r="Z4" s="47"/>
    </row>
    <row r="5">
      <c r="A5" s="53" t="s">
        <v>126</v>
      </c>
      <c r="B5" s="43">
        <f>VLOOKUP(B2, Heroes!$A$6:$H$48, 6, FALSE)</f>
        <v>17</v>
      </c>
      <c r="C5" s="47"/>
      <c r="D5" s="43"/>
      <c r="E5" s="40" t="s">
        <v>127</v>
      </c>
      <c r="F5" s="54">
        <v>0.0</v>
      </c>
      <c r="G5" s="56"/>
      <c r="H5" s="63">
        <f>D8*((F8-0.1)*-1)+D8</f>
        <v>96.04318</v>
      </c>
      <c r="I5" s="63">
        <f>(D8+((O3*0.2)*N7))*(F8*-1)+(D8+((O3*0.2)*N7))</f>
        <v>99.463896</v>
      </c>
      <c r="J5" s="63">
        <f>(N7*1.1*N6)*(F8*-1)+(N7*1.1*N6)</f>
        <v>91.175238</v>
      </c>
      <c r="K5" s="2"/>
      <c r="L5" s="2"/>
      <c r="M5" s="47"/>
      <c r="N5" s="47"/>
      <c r="O5" s="70"/>
      <c r="P5" s="47"/>
      <c r="Q5" s="47"/>
      <c r="R5" s="47"/>
      <c r="S5" s="60">
        <v>4.0</v>
      </c>
      <c r="T5" s="61">
        <f t="shared" si="1"/>
        <v>86.2020432</v>
      </c>
      <c r="U5" s="62">
        <f t="shared" si="2"/>
        <v>86.2020432</v>
      </c>
      <c r="V5" s="63">
        <f t="shared" si="3"/>
        <v>88.14922</v>
      </c>
      <c r="W5" s="71">
        <f>W4+G10</f>
        <v>94.013955</v>
      </c>
      <c r="X5" s="47"/>
      <c r="Y5" s="47"/>
      <c r="Z5" s="47"/>
    </row>
    <row r="6">
      <c r="A6" s="53" t="s">
        <v>128</v>
      </c>
      <c r="B6" s="72">
        <v>1.0</v>
      </c>
      <c r="C6" s="43" t="s">
        <v>129</v>
      </c>
      <c r="D6" s="73">
        <v>0.0</v>
      </c>
      <c r="E6" s="40" t="s">
        <v>130</v>
      </c>
      <c r="F6" s="74">
        <f>1-(1-F1)*(1-F2)*(1-F3)*(1-F4)*(1-F5)</f>
        <v>0.13</v>
      </c>
      <c r="G6" s="56"/>
      <c r="H6" s="56"/>
      <c r="I6" s="56"/>
      <c r="J6" s="56"/>
      <c r="K6" s="2"/>
      <c r="L6" s="2"/>
      <c r="M6" s="43" t="s">
        <v>131</v>
      </c>
      <c r="N6" s="75">
        <f>O3*(1+D6)</f>
        <v>31.4</v>
      </c>
      <c r="O6" s="70"/>
      <c r="P6" s="47"/>
      <c r="Q6" s="47"/>
      <c r="R6" s="47"/>
      <c r="S6" s="60">
        <v>5.0</v>
      </c>
      <c r="T6" s="61">
        <f t="shared" si="1"/>
        <v>87.030909</v>
      </c>
      <c r="U6" s="62">
        <f t="shared" si="2"/>
        <v>87.030909</v>
      </c>
      <c r="V6" s="63">
        <f t="shared" si="3"/>
        <v>89.46488</v>
      </c>
      <c r="W6" s="76" t="s">
        <v>132</v>
      </c>
      <c r="X6" s="47"/>
      <c r="Y6" s="47"/>
      <c r="Z6" s="47"/>
    </row>
    <row r="7">
      <c r="A7" s="53" t="s">
        <v>133</v>
      </c>
      <c r="B7" s="77">
        <f>B5+(B5*B6)</f>
        <v>34</v>
      </c>
      <c r="C7" s="43" t="s">
        <v>134</v>
      </c>
      <c r="D7" s="78">
        <v>0.0</v>
      </c>
      <c r="E7" s="2"/>
      <c r="F7" s="79"/>
      <c r="G7" s="56"/>
      <c r="H7" s="40" t="s">
        <v>135</v>
      </c>
      <c r="I7" s="56"/>
      <c r="J7" s="80">
        <f>B7/N7</f>
        <v>8.114558473</v>
      </c>
      <c r="K7" s="2"/>
      <c r="L7" s="2"/>
      <c r="M7" s="81" t="s">
        <v>136</v>
      </c>
      <c r="N7" s="82">
        <f>D4*(1+D7)</f>
        <v>4.19</v>
      </c>
      <c r="O7" s="70"/>
      <c r="P7" s="47"/>
      <c r="Q7" s="47"/>
      <c r="R7" s="47"/>
      <c r="S7" s="60">
        <v>6.0</v>
      </c>
      <c r="T7" s="61">
        <f t="shared" si="1"/>
        <v>87.8597748</v>
      </c>
      <c r="U7" s="62">
        <f t="shared" si="2"/>
        <v>87.8597748</v>
      </c>
      <c r="V7" s="63">
        <f t="shared" si="3"/>
        <v>90.78054</v>
      </c>
      <c r="W7" s="83">
        <v>0.68</v>
      </c>
      <c r="X7" s="47"/>
      <c r="Y7" s="47"/>
      <c r="Z7" s="47"/>
    </row>
    <row r="8">
      <c r="A8" s="84"/>
      <c r="B8" s="85"/>
      <c r="C8" s="81" t="s">
        <v>137</v>
      </c>
      <c r="D8" s="86">
        <f>N8</f>
        <v>131.566</v>
      </c>
      <c r="E8" s="87" t="s">
        <v>138</v>
      </c>
      <c r="F8" s="88">
        <f>I1-F6</f>
        <v>0.37</v>
      </c>
      <c r="G8" s="56"/>
      <c r="H8" s="56"/>
      <c r="I8" s="56"/>
      <c r="J8" s="63"/>
      <c r="K8" s="2"/>
      <c r="L8" s="2"/>
      <c r="M8" s="43" t="s">
        <v>139</v>
      </c>
      <c r="N8" s="61">
        <f>N6*N7</f>
        <v>131.566</v>
      </c>
      <c r="O8" s="70"/>
      <c r="P8" s="47"/>
      <c r="Q8" s="47"/>
      <c r="R8" s="47"/>
      <c r="S8" s="60">
        <v>7.0</v>
      </c>
      <c r="T8" s="61">
        <f t="shared" si="1"/>
        <v>88.6886406</v>
      </c>
      <c r="U8" s="62">
        <f t="shared" si="2"/>
        <v>88.6886406</v>
      </c>
      <c r="V8" s="63">
        <f t="shared" si="3"/>
        <v>92.0962</v>
      </c>
      <c r="W8" s="76" t="s">
        <v>140</v>
      </c>
      <c r="X8" s="47"/>
      <c r="Y8" s="47"/>
      <c r="Z8" s="47"/>
    </row>
    <row r="9">
      <c r="A9" s="47"/>
      <c r="B9" s="47"/>
      <c r="C9" s="47"/>
      <c r="D9" s="47"/>
      <c r="E9" s="47"/>
      <c r="F9" s="2"/>
      <c r="G9" s="2"/>
      <c r="H9" s="56"/>
      <c r="I9" s="56"/>
      <c r="J9" s="56"/>
      <c r="K9" s="47"/>
      <c r="L9" s="47"/>
      <c r="M9" s="89"/>
      <c r="N9" s="47"/>
      <c r="O9" s="90"/>
      <c r="P9" s="47"/>
      <c r="Q9" s="47"/>
      <c r="R9" s="47"/>
      <c r="S9" s="60">
        <v>8.0</v>
      </c>
      <c r="T9" s="61">
        <f t="shared" si="1"/>
        <v>89.5175064</v>
      </c>
      <c r="U9" s="62">
        <f t="shared" si="2"/>
        <v>89.5175064</v>
      </c>
      <c r="V9" s="63">
        <f t="shared" si="3"/>
        <v>93.41186</v>
      </c>
      <c r="W9" s="91">
        <f>O3*W7</f>
        <v>21.352</v>
      </c>
      <c r="X9" s="47"/>
      <c r="Y9" s="47"/>
      <c r="Z9" s="47"/>
    </row>
    <row r="10">
      <c r="A10" s="43"/>
      <c r="B10" s="92"/>
      <c r="C10" s="43"/>
      <c r="D10" s="92"/>
      <c r="E10" s="47"/>
      <c r="F10" s="93" t="s">
        <v>141</v>
      </c>
      <c r="G10" s="94">
        <f>D8*(F8*-1)+D8</f>
        <v>82.88658</v>
      </c>
      <c r="H10" s="89"/>
      <c r="I10" s="95"/>
      <c r="J10" s="95"/>
      <c r="K10" s="47"/>
      <c r="L10" s="47"/>
      <c r="M10" s="47"/>
      <c r="N10" s="47"/>
      <c r="O10" s="70"/>
      <c r="P10" s="47"/>
      <c r="Q10" s="47"/>
      <c r="R10" s="47"/>
      <c r="S10" s="60">
        <v>9.0</v>
      </c>
      <c r="T10" s="61">
        <f t="shared" si="1"/>
        <v>90.3463722</v>
      </c>
      <c r="U10" s="62">
        <f t="shared" si="2"/>
        <v>90.3463722</v>
      </c>
      <c r="V10" s="63">
        <f t="shared" si="3"/>
        <v>94.72752</v>
      </c>
      <c r="W10" s="76" t="s">
        <v>142</v>
      </c>
      <c r="X10" s="47"/>
      <c r="Y10" s="47"/>
      <c r="Z10" s="47"/>
    </row>
    <row r="11">
      <c r="A11" s="43"/>
      <c r="B11" s="47"/>
      <c r="C11" s="43"/>
      <c r="D11" s="47"/>
      <c r="E11" s="96"/>
      <c r="F11" s="2"/>
      <c r="G11" s="2"/>
      <c r="H11" s="47"/>
      <c r="I11" s="47"/>
      <c r="J11" s="47"/>
      <c r="K11" s="47"/>
      <c r="L11" s="47"/>
      <c r="M11" s="95"/>
      <c r="N11" s="47"/>
      <c r="O11" s="90"/>
      <c r="P11" s="95"/>
      <c r="Q11" s="47"/>
      <c r="R11" s="47"/>
      <c r="S11" s="97">
        <v>10.0</v>
      </c>
      <c r="T11" s="98">
        <f t="shared" si="1"/>
        <v>91.175238</v>
      </c>
      <c r="U11" s="99">
        <f t="shared" si="2"/>
        <v>91.175238</v>
      </c>
      <c r="V11" s="100">
        <f t="shared" si="3"/>
        <v>96.04318</v>
      </c>
      <c r="W11" s="101">
        <f>W9*N7</f>
        <v>89.46488</v>
      </c>
      <c r="X11" s="47"/>
      <c r="Y11" s="47"/>
      <c r="Z11" s="47"/>
    </row>
    <row r="12">
      <c r="A12" s="102" t="s">
        <v>143</v>
      </c>
      <c r="B12" s="103"/>
      <c r="C12" s="103"/>
      <c r="D12" s="103"/>
      <c r="E12" s="103"/>
      <c r="F12" s="103"/>
      <c r="G12" s="103"/>
      <c r="H12" s="103"/>
      <c r="I12" s="104" t="s">
        <v>144</v>
      </c>
      <c r="J12" s="105">
        <v>0.15</v>
      </c>
      <c r="K12" s="104" t="s">
        <v>145</v>
      </c>
      <c r="L12" s="106">
        <v>0.0</v>
      </c>
      <c r="M12" s="104" t="s">
        <v>146</v>
      </c>
      <c r="N12" s="103"/>
      <c r="O12" s="107">
        <f>(1-(J12-J13))*B15+J14</f>
        <v>0.765</v>
      </c>
      <c r="P12" s="2"/>
      <c r="Q12" s="2"/>
      <c r="R12" s="47"/>
      <c r="S12" s="60">
        <v>11.0</v>
      </c>
      <c r="T12" s="61">
        <f t="shared" si="1"/>
        <v>92.0041038</v>
      </c>
      <c r="U12" s="62">
        <f t="shared" si="2"/>
        <v>92.0041038</v>
      </c>
      <c r="V12" s="63">
        <f t="shared" si="3"/>
        <v>97.35884</v>
      </c>
      <c r="W12" s="108">
        <f>W11+G10</f>
        <v>172.35146</v>
      </c>
      <c r="X12" s="47"/>
      <c r="Y12" s="47"/>
      <c r="Z12" s="47"/>
    </row>
    <row r="13">
      <c r="A13" s="109" t="s">
        <v>147</v>
      </c>
      <c r="B13" s="110"/>
      <c r="C13" s="109" t="s">
        <v>148</v>
      </c>
      <c r="D13" s="111"/>
      <c r="E13" s="109" t="s">
        <v>149</v>
      </c>
      <c r="F13" s="111"/>
      <c r="G13" s="109" t="s">
        <v>150</v>
      </c>
      <c r="H13" s="111"/>
      <c r="I13" s="89" t="s">
        <v>151</v>
      </c>
      <c r="J13" s="112">
        <f>1-(1-L12)*(1-L13)*(1-L14)*(1-L15)*(1-L16)*(1-L17)*(1-L18)</f>
        <v>0</v>
      </c>
      <c r="K13" s="89" t="s">
        <v>152</v>
      </c>
      <c r="L13" s="113">
        <v>0.0</v>
      </c>
      <c r="M13" s="89" t="s">
        <v>153</v>
      </c>
      <c r="N13" s="95"/>
      <c r="O13" s="114">
        <f>O12*B17</f>
        <v>47.43</v>
      </c>
      <c r="P13" s="2"/>
      <c r="Q13" s="2"/>
      <c r="R13" s="47"/>
      <c r="S13" s="60">
        <v>12.0</v>
      </c>
      <c r="T13" s="61">
        <f t="shared" si="1"/>
        <v>92.8329696</v>
      </c>
      <c r="U13" s="62">
        <f t="shared" si="2"/>
        <v>92.8329696</v>
      </c>
      <c r="V13" s="63">
        <f t="shared" si="3"/>
        <v>98.6745</v>
      </c>
      <c r="W13" s="59"/>
      <c r="X13" s="47"/>
      <c r="Y13" s="47"/>
      <c r="Z13" s="47"/>
    </row>
    <row r="14">
      <c r="A14" s="115" t="s">
        <v>154</v>
      </c>
      <c r="B14" s="116">
        <v>90.0</v>
      </c>
      <c r="C14" s="115" t="s">
        <v>154</v>
      </c>
      <c r="D14" s="116">
        <v>190.0</v>
      </c>
      <c r="E14" s="115" t="s">
        <v>154</v>
      </c>
      <c r="F14" s="116">
        <v>15.0</v>
      </c>
      <c r="G14" s="115" t="s">
        <v>154</v>
      </c>
      <c r="H14" s="116">
        <v>0.0</v>
      </c>
      <c r="I14" s="89" t="s">
        <v>155</v>
      </c>
      <c r="J14" s="112">
        <f>(L21*0.05)</f>
        <v>0</v>
      </c>
      <c r="K14" s="89" t="s">
        <v>156</v>
      </c>
      <c r="L14" s="117">
        <v>0.0</v>
      </c>
      <c r="M14" s="2"/>
      <c r="N14" s="2"/>
      <c r="O14" s="118"/>
      <c r="P14" s="2"/>
      <c r="Q14" s="2"/>
      <c r="R14" s="47"/>
      <c r="S14" s="60">
        <v>13.0</v>
      </c>
      <c r="T14" s="61">
        <f t="shared" si="1"/>
        <v>93.6618354</v>
      </c>
      <c r="U14" s="62">
        <f t="shared" si="2"/>
        <v>93.6618354</v>
      </c>
      <c r="V14" s="63">
        <f t="shared" si="3"/>
        <v>99.99016</v>
      </c>
      <c r="W14" s="59"/>
      <c r="X14" s="47"/>
      <c r="Y14" s="47"/>
      <c r="Z14" s="47"/>
    </row>
    <row r="15">
      <c r="A15" s="115" t="s">
        <v>157</v>
      </c>
      <c r="B15" s="119">
        <v>0.9</v>
      </c>
      <c r="C15" s="115" t="s">
        <v>157</v>
      </c>
      <c r="D15" s="119">
        <v>1.7</v>
      </c>
      <c r="E15" s="115" t="s">
        <v>157</v>
      </c>
      <c r="F15" s="119">
        <v>0.6</v>
      </c>
      <c r="G15" s="115" t="s">
        <v>157</v>
      </c>
      <c r="H15" s="119">
        <v>0.0</v>
      </c>
      <c r="I15" s="95"/>
      <c r="J15" s="95"/>
      <c r="K15" s="89" t="s">
        <v>158</v>
      </c>
      <c r="L15" s="89">
        <v>0.0</v>
      </c>
      <c r="M15" s="89" t="s">
        <v>159</v>
      </c>
      <c r="N15" s="95"/>
      <c r="O15" s="120">
        <f>(1-(J12-J13))*D15+J14</f>
        <v>1.445</v>
      </c>
      <c r="P15" s="2"/>
      <c r="Q15" s="2"/>
      <c r="R15" s="47"/>
      <c r="S15" s="60">
        <v>14.0</v>
      </c>
      <c r="T15" s="61">
        <f t="shared" si="1"/>
        <v>94.4907012</v>
      </c>
      <c r="U15" s="62">
        <f t="shared" si="2"/>
        <v>94.4907012</v>
      </c>
      <c r="V15" s="63">
        <f t="shared" si="3"/>
        <v>101.30582</v>
      </c>
      <c r="W15" s="59"/>
      <c r="X15" s="47"/>
      <c r="Y15" s="47"/>
      <c r="Z15" s="47"/>
    </row>
    <row r="16">
      <c r="A16" s="121"/>
      <c r="B16" s="122"/>
      <c r="C16" s="121"/>
      <c r="D16" s="122"/>
      <c r="E16" s="121"/>
      <c r="F16" s="122"/>
      <c r="G16" s="121"/>
      <c r="H16" s="122"/>
      <c r="I16" s="95"/>
      <c r="J16" s="95"/>
      <c r="K16" s="89" t="s">
        <v>160</v>
      </c>
      <c r="L16" s="89">
        <v>0.0</v>
      </c>
      <c r="M16" s="89" t="s">
        <v>161</v>
      </c>
      <c r="N16" s="95"/>
      <c r="O16" s="123">
        <f>O15*D17</f>
        <v>89.59</v>
      </c>
      <c r="P16" s="2"/>
      <c r="Q16" s="2"/>
      <c r="R16" s="47"/>
      <c r="S16" s="60">
        <v>15.0</v>
      </c>
      <c r="T16" s="61">
        <f t="shared" si="1"/>
        <v>95.319567</v>
      </c>
      <c r="U16" s="62">
        <f t="shared" si="2"/>
        <v>95.319567</v>
      </c>
      <c r="V16" s="63">
        <f t="shared" si="3"/>
        <v>102.62148</v>
      </c>
      <c r="W16" s="59"/>
      <c r="X16" s="47"/>
      <c r="Y16" s="47"/>
      <c r="Z16" s="47"/>
    </row>
    <row r="17">
      <c r="A17" s="115" t="s">
        <v>162</v>
      </c>
      <c r="B17" s="116">
        <v>62.0</v>
      </c>
      <c r="C17" s="115" t="s">
        <v>162</v>
      </c>
      <c r="D17" s="116">
        <f>B17</f>
        <v>62</v>
      </c>
      <c r="E17" s="115" t="s">
        <v>162</v>
      </c>
      <c r="F17" s="116">
        <f>D17</f>
        <v>62</v>
      </c>
      <c r="G17" s="115" t="s">
        <v>162</v>
      </c>
      <c r="H17" s="116">
        <f>F17</f>
        <v>62</v>
      </c>
      <c r="I17" s="95"/>
      <c r="J17" s="95"/>
      <c r="K17" s="89" t="s">
        <v>163</v>
      </c>
      <c r="L17" s="89">
        <v>0.0</v>
      </c>
      <c r="M17" s="2"/>
      <c r="N17" s="2"/>
      <c r="O17" s="118"/>
      <c r="P17" s="2"/>
      <c r="Q17" s="2"/>
      <c r="R17" s="47"/>
      <c r="S17" s="60">
        <v>16.0</v>
      </c>
      <c r="T17" s="61">
        <f t="shared" si="1"/>
        <v>96.1484328</v>
      </c>
      <c r="U17" s="62">
        <f t="shared" si="2"/>
        <v>96.1484328</v>
      </c>
      <c r="V17" s="63">
        <f t="shared" si="3"/>
        <v>103.93714</v>
      </c>
      <c r="W17" s="59"/>
      <c r="X17" s="47"/>
      <c r="Y17" s="47"/>
      <c r="Z17" s="47"/>
    </row>
    <row r="18">
      <c r="A18" s="115" t="s">
        <v>164</v>
      </c>
      <c r="B18" s="116">
        <f>B15*B17</f>
        <v>55.8</v>
      </c>
      <c r="C18" s="115" t="s">
        <v>164</v>
      </c>
      <c r="D18" s="116">
        <f>D15*D17</f>
        <v>105.4</v>
      </c>
      <c r="E18" s="115" t="s">
        <v>164</v>
      </c>
      <c r="F18" s="116">
        <f>F15*F17</f>
        <v>37.2</v>
      </c>
      <c r="G18" s="115" t="s">
        <v>164</v>
      </c>
      <c r="H18" s="116">
        <f>H15*H17</f>
        <v>0</v>
      </c>
      <c r="I18" s="89" t="s">
        <v>165</v>
      </c>
      <c r="J18" s="95"/>
      <c r="K18" s="89" t="s">
        <v>166</v>
      </c>
      <c r="L18" s="89">
        <v>0.0</v>
      </c>
      <c r="M18" s="89" t="s">
        <v>167</v>
      </c>
      <c r="N18" s="95"/>
      <c r="O18" s="120">
        <f>(1-(J12-J13))*F15+J14</f>
        <v>0.51</v>
      </c>
      <c r="P18" s="2"/>
      <c r="Q18" s="2"/>
      <c r="R18" s="47"/>
      <c r="S18" s="60">
        <v>17.0</v>
      </c>
      <c r="T18" s="61">
        <f t="shared" si="1"/>
        <v>96.9772986</v>
      </c>
      <c r="U18" s="62">
        <f t="shared" si="2"/>
        <v>96.9772986</v>
      </c>
      <c r="V18" s="63">
        <f t="shared" si="3"/>
        <v>105.2528</v>
      </c>
      <c r="W18" s="59"/>
      <c r="X18" s="47"/>
      <c r="Y18" s="47"/>
      <c r="Z18" s="47"/>
    </row>
    <row r="19">
      <c r="A19" s="124" t="s">
        <v>168</v>
      </c>
      <c r="B19" s="125">
        <f>B17*B15+B14</f>
        <v>145.8</v>
      </c>
      <c r="C19" s="124" t="s">
        <v>168</v>
      </c>
      <c r="D19" s="125">
        <f>D17*D15+D14</f>
        <v>295.4</v>
      </c>
      <c r="E19" s="124" t="s">
        <v>168</v>
      </c>
      <c r="F19" s="125">
        <f>F17*F15+F14</f>
        <v>52.2</v>
      </c>
      <c r="G19" s="124" t="s">
        <v>168</v>
      </c>
      <c r="H19" s="125">
        <f>H17*H15+H14</f>
        <v>0</v>
      </c>
      <c r="I19" s="126">
        <f>O12+O15+O18+O22</f>
        <v>2.72</v>
      </c>
      <c r="J19" s="95"/>
      <c r="K19" s="95"/>
      <c r="L19" s="95"/>
      <c r="M19" s="89" t="s">
        <v>169</v>
      </c>
      <c r="N19" s="95"/>
      <c r="O19" s="123">
        <f>O18*F14</f>
        <v>7.65</v>
      </c>
      <c r="P19" s="95"/>
      <c r="Q19" s="2"/>
      <c r="R19" s="47"/>
      <c r="S19" s="60">
        <v>18.0</v>
      </c>
      <c r="T19" s="61">
        <f t="shared" si="1"/>
        <v>97.8061644</v>
      </c>
      <c r="U19" s="62">
        <f t="shared" si="2"/>
        <v>97.8061644</v>
      </c>
      <c r="V19" s="63">
        <f t="shared" si="3"/>
        <v>106.56846</v>
      </c>
      <c r="W19" s="59"/>
      <c r="X19" s="47"/>
      <c r="Y19" s="47"/>
      <c r="Z19" s="47"/>
    </row>
    <row r="20">
      <c r="A20" s="127" t="s">
        <v>170</v>
      </c>
      <c r="B20" s="128"/>
      <c r="C20" s="127" t="s">
        <v>170</v>
      </c>
      <c r="D20" s="128"/>
      <c r="E20" s="127" t="s">
        <v>170</v>
      </c>
      <c r="F20" s="128"/>
      <c r="G20" s="127" t="s">
        <v>170</v>
      </c>
      <c r="H20" s="128"/>
      <c r="I20" s="89" t="s">
        <v>171</v>
      </c>
      <c r="J20" s="95"/>
      <c r="K20" s="89"/>
      <c r="L20" s="112"/>
      <c r="M20" s="95"/>
      <c r="N20" s="95"/>
      <c r="O20" s="128"/>
      <c r="P20" s="95"/>
      <c r="Q20" s="2"/>
      <c r="R20" s="47"/>
      <c r="S20" s="60">
        <v>19.0</v>
      </c>
      <c r="T20" s="61">
        <f t="shared" si="1"/>
        <v>98.6350302</v>
      </c>
      <c r="U20" s="62">
        <f t="shared" si="2"/>
        <v>98.6350302</v>
      </c>
      <c r="V20" s="63">
        <f t="shared" si="3"/>
        <v>107.88412</v>
      </c>
      <c r="W20" s="59"/>
      <c r="X20" s="47"/>
      <c r="Y20" s="47"/>
      <c r="Z20" s="47"/>
    </row>
    <row r="21">
      <c r="A21" s="129"/>
      <c r="B21" s="130">
        <f>(B19*(1+J14)*(1-(J12-J13)))</f>
        <v>123.93</v>
      </c>
      <c r="C21" s="129"/>
      <c r="D21" s="130">
        <f>(D19*(1+J14)*(1-(J12-J13)))</f>
        <v>251.09</v>
      </c>
      <c r="E21" s="129"/>
      <c r="F21" s="130">
        <f>(F19*(1+J14)*(1-(J12-J13)))</f>
        <v>44.37</v>
      </c>
      <c r="G21" s="129"/>
      <c r="H21" s="131">
        <f>(H19*(1+J14)*(1-(J12+J13)))</f>
        <v>0</v>
      </c>
      <c r="I21" s="126">
        <f>I19+1.5+1+0.5</f>
        <v>5.72</v>
      </c>
      <c r="J21" s="95"/>
      <c r="K21" s="89" t="s">
        <v>172</v>
      </c>
      <c r="L21" s="132">
        <v>0.0</v>
      </c>
      <c r="M21" s="95"/>
      <c r="N21" s="95"/>
      <c r="O21" s="128"/>
      <c r="P21" s="95"/>
      <c r="Q21" s="2"/>
      <c r="R21" s="47"/>
      <c r="S21" s="97">
        <v>20.0</v>
      </c>
      <c r="T21" s="98">
        <f t="shared" si="1"/>
        <v>99.463896</v>
      </c>
      <c r="U21" s="99">
        <f t="shared" si="2"/>
        <v>99.463896</v>
      </c>
      <c r="V21" s="100">
        <f t="shared" si="3"/>
        <v>109.19978</v>
      </c>
      <c r="W21" s="133"/>
      <c r="X21" s="47"/>
      <c r="Y21" s="47"/>
      <c r="Z21" s="47"/>
    </row>
    <row r="22">
      <c r="A22" s="2"/>
      <c r="B22" s="134" t="s">
        <v>173</v>
      </c>
      <c r="C22" s="135"/>
      <c r="D22" s="135"/>
      <c r="E22" s="135"/>
      <c r="F22" s="136" t="s">
        <v>174</v>
      </c>
      <c r="G22" s="137"/>
      <c r="H22" s="138"/>
      <c r="I22" s="95"/>
      <c r="J22" s="95"/>
      <c r="K22" s="95"/>
      <c r="L22" s="95"/>
      <c r="M22" s="89" t="s">
        <v>175</v>
      </c>
      <c r="N22" s="95"/>
      <c r="O22" s="120">
        <f>(1-(J12-J13))*H15+J14</f>
        <v>0</v>
      </c>
      <c r="P22" s="95"/>
      <c r="Q22" s="2"/>
      <c r="R22" s="47"/>
      <c r="S22" s="60">
        <v>21.0</v>
      </c>
      <c r="T22" s="61">
        <f t="shared" si="1"/>
        <v>100.2927618</v>
      </c>
      <c r="U22" s="62">
        <f t="shared" si="2"/>
        <v>100.2927618</v>
      </c>
      <c r="V22" s="63">
        <f t="shared" si="3"/>
        <v>110.51544</v>
      </c>
      <c r="W22" s="59"/>
      <c r="X22" s="47"/>
      <c r="Y22" s="47"/>
      <c r="Z22" s="47"/>
    </row>
    <row r="23">
      <c r="A23" s="2"/>
      <c r="B23" s="139" t="s">
        <v>176</v>
      </c>
      <c r="C23" s="140" t="s">
        <v>177</v>
      </c>
      <c r="D23" s="140" t="s">
        <v>178</v>
      </c>
      <c r="E23" s="140" t="s">
        <v>179</v>
      </c>
      <c r="F23" s="141"/>
      <c r="G23" s="132" t="s">
        <v>180</v>
      </c>
      <c r="H23" s="142"/>
      <c r="I23" s="95"/>
      <c r="J23" s="95"/>
      <c r="K23" s="95"/>
      <c r="L23" s="95"/>
      <c r="M23" s="89" t="s">
        <v>181</v>
      </c>
      <c r="N23" s="95"/>
      <c r="O23" s="143">
        <f>O22*H14</f>
        <v>0</v>
      </c>
      <c r="P23" s="95"/>
      <c r="Q23" s="2"/>
      <c r="R23" s="47"/>
      <c r="S23" s="60">
        <v>22.0</v>
      </c>
      <c r="T23" s="61">
        <f t="shared" si="1"/>
        <v>101.1216276</v>
      </c>
      <c r="U23" s="62">
        <f t="shared" si="2"/>
        <v>101.1216276</v>
      </c>
      <c r="V23" s="63">
        <f t="shared" si="3"/>
        <v>111.8311</v>
      </c>
      <c r="W23" s="59"/>
      <c r="X23" s="47"/>
      <c r="Y23" s="47"/>
      <c r="Z23" s="47"/>
    </row>
    <row r="24">
      <c r="A24" s="2"/>
      <c r="B24" s="144">
        <f>95+(B17*0.46)</f>
        <v>123.52</v>
      </c>
      <c r="C24" s="132">
        <f>75+(B17*1)</f>
        <v>137</v>
      </c>
      <c r="D24" s="132">
        <v>55.0</v>
      </c>
      <c r="E24" s="144">
        <f>175+(B17*0.7)</f>
        <v>218.4</v>
      </c>
      <c r="F24" s="132"/>
      <c r="G24" s="132">
        <f t="shared" ref="G24:G25" si="4">B24+C24+D24+E24</f>
        <v>533.92</v>
      </c>
      <c r="H24" s="145"/>
      <c r="I24" s="95"/>
      <c r="J24" s="95"/>
      <c r="K24" s="146"/>
      <c r="L24" s="95"/>
      <c r="M24" s="140" t="s">
        <v>182</v>
      </c>
      <c r="N24" s="147"/>
      <c r="O24" s="116" t="s">
        <v>183</v>
      </c>
      <c r="P24" s="95"/>
      <c r="Q24" s="2"/>
      <c r="R24" s="47"/>
      <c r="S24" s="60">
        <v>23.0</v>
      </c>
      <c r="T24" s="61">
        <f t="shared" si="1"/>
        <v>101.9504934</v>
      </c>
      <c r="U24" s="62">
        <f t="shared" si="2"/>
        <v>101.9504934</v>
      </c>
      <c r="V24" s="63">
        <f t="shared" si="3"/>
        <v>113.14676</v>
      </c>
      <c r="W24" s="59"/>
      <c r="X24" s="47"/>
      <c r="Y24" s="47"/>
      <c r="Z24" s="47"/>
    </row>
    <row r="25">
      <c r="A25" s="134" t="s">
        <v>184</v>
      </c>
      <c r="B25" s="148">
        <f>(B24*(1+J14)*(1-(J12-J13)))</f>
        <v>104.992</v>
      </c>
      <c r="C25" s="149">
        <f>(C24*(1+J14)*(1-(J12-J13)))</f>
        <v>116.45</v>
      </c>
      <c r="D25" s="149">
        <f>(D24*(1+J14)*(1-(J12-J13)))</f>
        <v>46.75</v>
      </c>
      <c r="E25" s="150">
        <f>(E24*(1+J14)*(1-(J12-J13)))</f>
        <v>185.64</v>
      </c>
      <c r="F25" s="151"/>
      <c r="G25" s="152">
        <f t="shared" si="4"/>
        <v>453.832</v>
      </c>
      <c r="H25" s="153"/>
      <c r="I25" s="135"/>
      <c r="J25" s="135"/>
      <c r="K25" s="154"/>
      <c r="L25" s="155"/>
      <c r="M25" s="156">
        <f>B21+D21+F21+H21</f>
        <v>419.39</v>
      </c>
      <c r="N25" s="157"/>
      <c r="O25" s="158">
        <f>M25+G25</f>
        <v>873.222</v>
      </c>
      <c r="P25" s="95"/>
      <c r="Q25" s="2"/>
      <c r="R25" s="47"/>
      <c r="S25" s="60">
        <v>24.0</v>
      </c>
      <c r="T25" s="61">
        <f t="shared" si="1"/>
        <v>102.7793592</v>
      </c>
      <c r="U25" s="62">
        <f t="shared" si="2"/>
        <v>102.7793592</v>
      </c>
      <c r="V25" s="63">
        <f t="shared" si="3"/>
        <v>114.46242</v>
      </c>
      <c r="W25" s="59"/>
      <c r="X25" s="47"/>
      <c r="Y25" s="47"/>
      <c r="Z25" s="47"/>
    </row>
    <row r="26">
      <c r="A26" s="159" t="s">
        <v>185</v>
      </c>
      <c r="B26" s="106" t="s">
        <v>186</v>
      </c>
      <c r="C26" s="160"/>
      <c r="D26" s="104" t="s">
        <v>187</v>
      </c>
      <c r="E26" s="161">
        <v>0.16</v>
      </c>
      <c r="F26" s="95"/>
      <c r="G26" s="95"/>
      <c r="H26" s="95"/>
      <c r="I26" s="95"/>
      <c r="J26" s="95"/>
      <c r="K26" s="95"/>
      <c r="L26" s="95"/>
      <c r="M26" s="95"/>
      <c r="N26" s="47"/>
      <c r="O26" s="47"/>
      <c r="P26" s="47"/>
      <c r="Q26" s="47"/>
      <c r="R26" s="47"/>
      <c r="S26" s="60">
        <v>25.0</v>
      </c>
      <c r="T26" s="61">
        <f t="shared" si="1"/>
        <v>103.608225</v>
      </c>
      <c r="U26" s="62">
        <f t="shared" si="2"/>
        <v>103.608225</v>
      </c>
      <c r="V26" s="63">
        <f t="shared" si="3"/>
        <v>115.77808</v>
      </c>
      <c r="W26" s="59"/>
      <c r="X26" s="47"/>
      <c r="Y26" s="47"/>
      <c r="Z26" s="47"/>
    </row>
    <row r="27">
      <c r="A27" s="89" t="s">
        <v>188</v>
      </c>
      <c r="B27" s="162">
        <v>3.0</v>
      </c>
      <c r="C27" s="95"/>
      <c r="D27" s="89" t="s">
        <v>189</v>
      </c>
      <c r="E27" s="163">
        <v>0.0</v>
      </c>
      <c r="F27" s="164" t="s">
        <v>190</v>
      </c>
      <c r="G27" s="165">
        <f>B21*E28</f>
        <v>495.72</v>
      </c>
      <c r="H27" s="89" t="s">
        <v>191</v>
      </c>
      <c r="I27" s="95"/>
      <c r="J27" s="95"/>
      <c r="K27" s="95"/>
      <c r="L27" s="95"/>
      <c r="M27" s="95"/>
      <c r="N27" s="47"/>
      <c r="O27" s="47"/>
      <c r="P27" s="47"/>
      <c r="Q27" s="47"/>
      <c r="R27" s="47"/>
      <c r="S27" s="60">
        <v>26.0</v>
      </c>
      <c r="T27" s="61">
        <f t="shared" si="1"/>
        <v>104.4370908</v>
      </c>
      <c r="U27" s="62">
        <f t="shared" si="2"/>
        <v>104.4370908</v>
      </c>
      <c r="V27" s="63">
        <f t="shared" si="3"/>
        <v>117.09374</v>
      </c>
      <c r="W27" s="59"/>
      <c r="X27" s="47"/>
      <c r="Y27" s="47"/>
      <c r="Z27" s="47"/>
    </row>
    <row r="28">
      <c r="A28" s="134" t="s">
        <v>192</v>
      </c>
      <c r="B28" s="134">
        <v>1.0</v>
      </c>
      <c r="C28" s="135"/>
      <c r="D28" s="134" t="s">
        <v>193</v>
      </c>
      <c r="E28" s="166">
        <f>B27+E27+B28</f>
        <v>4</v>
      </c>
      <c r="F28" s="89" t="s">
        <v>194</v>
      </c>
      <c r="G28" s="95">
        <f>G27/E28</f>
        <v>123.93</v>
      </c>
      <c r="H28" s="89" t="s">
        <v>195</v>
      </c>
      <c r="I28" s="95"/>
      <c r="J28" s="95"/>
      <c r="K28" s="95"/>
      <c r="L28" s="95"/>
      <c r="M28" s="95"/>
      <c r="N28" s="47"/>
      <c r="O28" s="47"/>
      <c r="P28" s="47"/>
      <c r="Q28" s="47"/>
      <c r="R28" s="47"/>
      <c r="S28" s="60">
        <v>27.0</v>
      </c>
      <c r="T28" s="61">
        <f t="shared" si="1"/>
        <v>105.2659566</v>
      </c>
      <c r="U28" s="62">
        <f t="shared" si="2"/>
        <v>105.2659566</v>
      </c>
      <c r="V28" s="63">
        <f t="shared" si="3"/>
        <v>118.4094</v>
      </c>
      <c r="W28" s="59"/>
      <c r="X28" s="47"/>
      <c r="Y28" s="47"/>
      <c r="Z28" s="47"/>
    </row>
    <row r="29">
      <c r="A29" s="95"/>
      <c r="B29" s="95"/>
      <c r="C29" s="95"/>
      <c r="D29" s="95"/>
      <c r="E29" s="95"/>
      <c r="F29" s="89" t="s">
        <v>196</v>
      </c>
      <c r="G29" s="95">
        <f>G27*(1-J12)</f>
        <v>421.362</v>
      </c>
      <c r="H29" s="95"/>
      <c r="I29" s="95"/>
      <c r="J29" s="95"/>
      <c r="K29" s="95"/>
      <c r="L29" s="95"/>
      <c r="M29" s="95"/>
      <c r="N29" s="47"/>
      <c r="O29" s="47"/>
      <c r="P29" s="47"/>
      <c r="Q29" s="47"/>
      <c r="R29" s="47"/>
      <c r="S29" s="60">
        <v>28.0</v>
      </c>
      <c r="T29" s="61">
        <f t="shared" si="1"/>
        <v>106.0948224</v>
      </c>
      <c r="U29" s="62">
        <f t="shared" si="2"/>
        <v>106.0948224</v>
      </c>
      <c r="V29" s="63">
        <f t="shared" si="3"/>
        <v>119.72506</v>
      </c>
      <c r="W29" s="59"/>
      <c r="X29" s="47"/>
      <c r="Y29" s="47"/>
      <c r="Z29" s="47"/>
    </row>
    <row r="30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47"/>
      <c r="O30" s="47"/>
      <c r="P30" s="47"/>
      <c r="Q30" s="47"/>
      <c r="R30" s="47"/>
      <c r="S30" s="60">
        <v>29.0</v>
      </c>
      <c r="T30" s="61">
        <f t="shared" si="1"/>
        <v>106.9236882</v>
      </c>
      <c r="U30" s="62">
        <f t="shared" si="2"/>
        <v>106.9236882</v>
      </c>
      <c r="V30" s="63">
        <f t="shared" si="3"/>
        <v>121.04072</v>
      </c>
      <c r="W30" s="59"/>
      <c r="X30" s="47"/>
      <c r="Y30" s="47"/>
      <c r="Z30" s="47"/>
    </row>
    <row r="31">
      <c r="A31" s="102" t="s">
        <v>143</v>
      </c>
      <c r="B31" s="103"/>
      <c r="C31" s="103"/>
      <c r="D31" s="103"/>
      <c r="E31" s="103"/>
      <c r="F31" s="103"/>
      <c r="G31" s="103"/>
      <c r="H31" s="103"/>
      <c r="I31" s="104" t="s">
        <v>144</v>
      </c>
      <c r="J31" s="105">
        <v>0.0</v>
      </c>
      <c r="K31" s="104" t="s">
        <v>145</v>
      </c>
      <c r="L31" s="106">
        <v>0.0</v>
      </c>
      <c r="M31" s="104" t="s">
        <v>146</v>
      </c>
      <c r="N31" s="103"/>
      <c r="O31" s="107">
        <f>(1-(J31-J32))*B34+J33</f>
        <v>0.3</v>
      </c>
      <c r="P31" s="47"/>
      <c r="Q31" s="47"/>
      <c r="R31" s="47"/>
      <c r="S31" s="97">
        <v>30.0</v>
      </c>
      <c r="T31" s="98">
        <f t="shared" si="1"/>
        <v>107.752554</v>
      </c>
      <c r="U31" s="99">
        <f t="shared" si="2"/>
        <v>107.752554</v>
      </c>
      <c r="V31" s="100">
        <f t="shared" si="3"/>
        <v>122.35638</v>
      </c>
      <c r="W31" s="133"/>
      <c r="X31" s="47"/>
      <c r="Y31" s="47"/>
      <c r="Z31" s="47"/>
    </row>
    <row r="32">
      <c r="A32" s="109" t="s">
        <v>147</v>
      </c>
      <c r="B32" s="111"/>
      <c r="C32" s="109" t="s">
        <v>148</v>
      </c>
      <c r="D32" s="111"/>
      <c r="E32" s="109" t="s">
        <v>149</v>
      </c>
      <c r="F32" s="111"/>
      <c r="G32" s="109" t="s">
        <v>150</v>
      </c>
      <c r="H32" s="111"/>
      <c r="I32" s="89" t="s">
        <v>151</v>
      </c>
      <c r="J32" s="112">
        <f>1-(1-L31)*(1-L32)*(1-L33)*(1-L34)</f>
        <v>0</v>
      </c>
      <c r="K32" s="89" t="s">
        <v>152</v>
      </c>
      <c r="L32" s="113">
        <v>0.0</v>
      </c>
      <c r="M32" s="89" t="s">
        <v>153</v>
      </c>
      <c r="N32" s="95"/>
      <c r="O32" s="114">
        <f>O31*B36</f>
        <v>8.1</v>
      </c>
      <c r="P32" s="47"/>
      <c r="Q32" s="47"/>
      <c r="R32" s="47"/>
      <c r="S32" s="60">
        <v>31.0</v>
      </c>
      <c r="T32" s="61">
        <f t="shared" si="1"/>
        <v>108.5814198</v>
      </c>
      <c r="U32" s="62">
        <f t="shared" si="2"/>
        <v>108.5814198</v>
      </c>
      <c r="V32" s="63">
        <f t="shared" si="3"/>
        <v>123.67204</v>
      </c>
      <c r="W32" s="59"/>
      <c r="X32" s="47"/>
      <c r="Y32" s="47"/>
      <c r="Z32" s="47"/>
    </row>
    <row r="33">
      <c r="A33" s="115" t="s">
        <v>154</v>
      </c>
      <c r="B33" s="116">
        <v>50.0</v>
      </c>
      <c r="C33" s="115" t="s">
        <v>154</v>
      </c>
      <c r="D33" s="116">
        <v>40.0</v>
      </c>
      <c r="E33" s="115" t="s">
        <v>154</v>
      </c>
      <c r="F33" s="116">
        <v>15.0</v>
      </c>
      <c r="G33" s="115" t="s">
        <v>154</v>
      </c>
      <c r="H33" s="116">
        <v>0.0</v>
      </c>
      <c r="I33" s="89" t="s">
        <v>155</v>
      </c>
      <c r="J33" s="112">
        <f>L35+(L37*0.04)</f>
        <v>0</v>
      </c>
      <c r="K33" s="89" t="s">
        <v>156</v>
      </c>
      <c r="L33" s="117">
        <v>0.0</v>
      </c>
      <c r="M33" s="2"/>
      <c r="N33" s="2"/>
      <c r="O33" s="118"/>
      <c r="P33" s="47"/>
      <c r="Q33" s="47"/>
      <c r="R33" s="47"/>
      <c r="S33" s="60">
        <v>32.0</v>
      </c>
      <c r="T33" s="61">
        <f t="shared" si="1"/>
        <v>109.4102856</v>
      </c>
      <c r="U33" s="62">
        <f t="shared" si="2"/>
        <v>109.4102856</v>
      </c>
      <c r="V33" s="63">
        <f t="shared" si="3"/>
        <v>124.9877</v>
      </c>
      <c r="W33" s="59"/>
      <c r="X33" s="47"/>
      <c r="Y33" s="47"/>
      <c r="Z33" s="47"/>
    </row>
    <row r="34">
      <c r="A34" s="115" t="s">
        <v>157</v>
      </c>
      <c r="B34" s="119">
        <v>0.3</v>
      </c>
      <c r="C34" s="115" t="s">
        <v>157</v>
      </c>
      <c r="D34" s="119">
        <v>0.7</v>
      </c>
      <c r="E34" s="115" t="s">
        <v>157</v>
      </c>
      <c r="F34" s="119">
        <v>0.4</v>
      </c>
      <c r="G34" s="115" t="s">
        <v>157</v>
      </c>
      <c r="H34" s="119">
        <v>0.0</v>
      </c>
      <c r="I34" s="95"/>
      <c r="J34" s="95"/>
      <c r="K34" s="89" t="s">
        <v>158</v>
      </c>
      <c r="L34" s="89">
        <v>0.0</v>
      </c>
      <c r="M34" s="89" t="s">
        <v>159</v>
      </c>
      <c r="N34" s="95"/>
      <c r="O34" s="120">
        <f>(1-(J31-J32))*D34+J33</f>
        <v>0.7</v>
      </c>
      <c r="P34" s="47"/>
      <c r="Q34" s="47"/>
      <c r="R34" s="47"/>
      <c r="S34" s="60">
        <v>33.0</v>
      </c>
      <c r="T34" s="61">
        <f t="shared" si="1"/>
        <v>110.2391514</v>
      </c>
      <c r="U34" s="62">
        <f t="shared" si="2"/>
        <v>110.2391514</v>
      </c>
      <c r="V34" s="63">
        <f t="shared" si="3"/>
        <v>126.30336</v>
      </c>
      <c r="W34" s="59"/>
      <c r="X34" s="47"/>
      <c r="Y34" s="47"/>
      <c r="Z34" s="47"/>
    </row>
    <row r="35">
      <c r="A35" s="121"/>
      <c r="B35" s="122"/>
      <c r="C35" s="121"/>
      <c r="D35" s="122"/>
      <c r="E35" s="121"/>
      <c r="F35" s="122"/>
      <c r="G35" s="121"/>
      <c r="H35" s="122"/>
      <c r="I35" s="95"/>
      <c r="J35" s="95"/>
      <c r="K35" s="89" t="s">
        <v>160</v>
      </c>
      <c r="L35" s="89">
        <v>0.0</v>
      </c>
      <c r="M35" s="89" t="s">
        <v>161</v>
      </c>
      <c r="N35" s="95"/>
      <c r="O35" s="123">
        <f>O34*D36</f>
        <v>18.9</v>
      </c>
      <c r="P35" s="47"/>
      <c r="Q35" s="47"/>
      <c r="R35" s="47"/>
      <c r="S35" s="60">
        <v>34.0</v>
      </c>
      <c r="T35" s="61">
        <f t="shared" si="1"/>
        <v>111.0680172</v>
      </c>
      <c r="U35" s="62">
        <f t="shared" si="2"/>
        <v>111.0680172</v>
      </c>
      <c r="V35" s="63">
        <f t="shared" si="3"/>
        <v>127.61902</v>
      </c>
      <c r="W35" s="59"/>
      <c r="X35" s="47"/>
      <c r="Y35" s="47"/>
      <c r="Z35" s="47"/>
    </row>
    <row r="36">
      <c r="A36" s="115" t="s">
        <v>162</v>
      </c>
      <c r="B36" s="116">
        <v>27.0</v>
      </c>
      <c r="C36" s="115" t="s">
        <v>162</v>
      </c>
      <c r="D36" s="116">
        <f>B36</f>
        <v>27</v>
      </c>
      <c r="E36" s="115" t="s">
        <v>162</v>
      </c>
      <c r="F36" s="116">
        <f>D36</f>
        <v>27</v>
      </c>
      <c r="G36" s="115" t="s">
        <v>162</v>
      </c>
      <c r="H36" s="116">
        <f>F36</f>
        <v>27</v>
      </c>
      <c r="I36" s="95"/>
      <c r="J36" s="95"/>
      <c r="K36" s="95"/>
      <c r="L36" s="95"/>
      <c r="M36" s="2"/>
      <c r="N36" s="2"/>
      <c r="O36" s="118"/>
      <c r="P36" s="167"/>
      <c r="Q36" s="167"/>
      <c r="R36" s="47"/>
      <c r="S36" s="60">
        <v>35.0</v>
      </c>
      <c r="T36" s="61">
        <f t="shared" si="1"/>
        <v>111.896883</v>
      </c>
      <c r="U36" s="62">
        <f t="shared" si="2"/>
        <v>111.896883</v>
      </c>
      <c r="V36" s="63">
        <f t="shared" si="3"/>
        <v>128.93468</v>
      </c>
      <c r="W36" s="59"/>
      <c r="X36" s="47"/>
      <c r="Y36" s="47"/>
      <c r="Z36" s="47"/>
    </row>
    <row r="37">
      <c r="A37" s="115" t="s">
        <v>164</v>
      </c>
      <c r="B37" s="116">
        <f>B34*B36</f>
        <v>8.1</v>
      </c>
      <c r="C37" s="115" t="s">
        <v>164</v>
      </c>
      <c r="D37" s="116">
        <f>D34*D36</f>
        <v>18.9</v>
      </c>
      <c r="E37" s="115" t="s">
        <v>164</v>
      </c>
      <c r="F37" s="116">
        <f>F34*F36</f>
        <v>10.8</v>
      </c>
      <c r="G37" s="115" t="s">
        <v>164</v>
      </c>
      <c r="H37" s="116">
        <f>H34*H36</f>
        <v>0</v>
      </c>
      <c r="I37" s="89" t="s">
        <v>165</v>
      </c>
      <c r="J37" s="95"/>
      <c r="K37" s="89" t="s">
        <v>172</v>
      </c>
      <c r="L37" s="132">
        <v>0.0</v>
      </c>
      <c r="M37" s="89" t="s">
        <v>167</v>
      </c>
      <c r="N37" s="95"/>
      <c r="O37" s="120">
        <f>(1-(J31-J32))*F34+J33</f>
        <v>0.4</v>
      </c>
      <c r="P37" s="168"/>
      <c r="Q37" s="168"/>
      <c r="R37" s="47"/>
      <c r="S37" s="60">
        <v>36.0</v>
      </c>
      <c r="T37" s="61">
        <f t="shared" si="1"/>
        <v>112.7257488</v>
      </c>
      <c r="U37" s="62">
        <f t="shared" si="2"/>
        <v>112.7257488</v>
      </c>
      <c r="V37" s="63">
        <f t="shared" si="3"/>
        <v>130.25034</v>
      </c>
      <c r="W37" s="59"/>
      <c r="X37" s="47"/>
      <c r="Y37" s="47"/>
      <c r="Z37" s="47"/>
    </row>
    <row r="38">
      <c r="A38" s="124" t="s">
        <v>168</v>
      </c>
      <c r="B38" s="125">
        <f>B36*B34+B33</f>
        <v>58.1</v>
      </c>
      <c r="C38" s="124" t="s">
        <v>168</v>
      </c>
      <c r="D38" s="125">
        <f>D36*D34+D33</f>
        <v>58.9</v>
      </c>
      <c r="E38" s="124" t="s">
        <v>168</v>
      </c>
      <c r="F38" s="125">
        <f>F36*F34+F33</f>
        <v>25.8</v>
      </c>
      <c r="G38" s="124" t="s">
        <v>168</v>
      </c>
      <c r="H38" s="125">
        <f>H36*H34+H33</f>
        <v>0</v>
      </c>
      <c r="I38" s="126">
        <f>O31+O34+O37+O41</f>
        <v>1.4</v>
      </c>
      <c r="J38" s="95"/>
      <c r="K38" s="95"/>
      <c r="L38" s="95"/>
      <c r="M38" s="89" t="s">
        <v>169</v>
      </c>
      <c r="N38" s="95"/>
      <c r="O38" s="123">
        <f>O37*F33</f>
        <v>6</v>
      </c>
      <c r="P38" s="47"/>
      <c r="Q38" s="47"/>
      <c r="R38" s="47"/>
      <c r="S38" s="60">
        <v>37.0</v>
      </c>
      <c r="T38" s="61">
        <f t="shared" si="1"/>
        <v>113.5546146</v>
      </c>
      <c r="U38" s="62">
        <f t="shared" si="2"/>
        <v>113.5546146</v>
      </c>
      <c r="V38" s="63">
        <f t="shared" si="3"/>
        <v>131.566</v>
      </c>
      <c r="W38" s="59"/>
      <c r="X38" s="47"/>
      <c r="Y38" s="47"/>
      <c r="Z38" s="47"/>
    </row>
    <row r="39">
      <c r="A39" s="127" t="s">
        <v>170</v>
      </c>
      <c r="B39" s="128"/>
      <c r="C39" s="127" t="s">
        <v>170</v>
      </c>
      <c r="D39" s="128"/>
      <c r="E39" s="127" t="s">
        <v>170</v>
      </c>
      <c r="F39" s="128"/>
      <c r="G39" s="127" t="s">
        <v>170</v>
      </c>
      <c r="H39" s="128"/>
      <c r="I39" s="89" t="s">
        <v>171</v>
      </c>
      <c r="J39" s="95"/>
      <c r="K39" s="89"/>
      <c r="L39" s="112"/>
      <c r="M39" s="95"/>
      <c r="N39" s="95"/>
      <c r="O39" s="128"/>
      <c r="P39" s="47"/>
      <c r="Q39" s="47"/>
      <c r="R39" s="47"/>
      <c r="S39" s="60">
        <v>38.0</v>
      </c>
      <c r="T39" s="61">
        <f t="shared" si="1"/>
        <v>114.3834804</v>
      </c>
      <c r="U39" s="62">
        <f t="shared" si="2"/>
        <v>114.3834804</v>
      </c>
      <c r="V39" s="63">
        <f t="shared" si="3"/>
        <v>132.88166</v>
      </c>
      <c r="W39" s="59"/>
      <c r="X39" s="47"/>
      <c r="Y39" s="47"/>
      <c r="Z39" s="47"/>
    </row>
    <row r="40">
      <c r="A40" s="129"/>
      <c r="B40" s="130">
        <f>(B38*(1+J33)*(1-(J31-J32)))</f>
        <v>58.1</v>
      </c>
      <c r="C40" s="129"/>
      <c r="D40" s="130">
        <f>(D38*(1+J33)*(1-(J31-J32)))</f>
        <v>58.9</v>
      </c>
      <c r="E40" s="129"/>
      <c r="F40" s="130">
        <f>(F38*(1+J33)*(1-(J31-J32)))</f>
        <v>25.8</v>
      </c>
      <c r="G40" s="129"/>
      <c r="H40" s="131">
        <f>(H38*(1+J33)*(1-(J31+J32)))</f>
        <v>0</v>
      </c>
      <c r="I40" s="126">
        <f>I38+1.5+1+0.5</f>
        <v>4.4</v>
      </c>
      <c r="J40" s="95"/>
      <c r="K40" s="95"/>
      <c r="L40" s="95"/>
      <c r="M40" s="95"/>
      <c r="N40" s="95"/>
      <c r="O40" s="128"/>
      <c r="P40" s="47"/>
      <c r="Q40" s="47"/>
      <c r="R40" s="47"/>
      <c r="S40" s="60">
        <v>39.0</v>
      </c>
      <c r="T40" s="61">
        <f t="shared" si="1"/>
        <v>115.2123462</v>
      </c>
      <c r="U40" s="62">
        <f t="shared" si="2"/>
        <v>115.2123462</v>
      </c>
      <c r="V40" s="63">
        <f t="shared" si="3"/>
        <v>134.19732</v>
      </c>
      <c r="W40" s="59"/>
      <c r="X40" s="47"/>
      <c r="Y40" s="47"/>
      <c r="Z40" s="47"/>
    </row>
    <row r="41">
      <c r="A41" s="2"/>
      <c r="B41" s="134" t="s">
        <v>173</v>
      </c>
      <c r="C41" s="135"/>
      <c r="D41" s="135"/>
      <c r="E41" s="135"/>
      <c r="F41" s="136" t="s">
        <v>174</v>
      </c>
      <c r="G41" s="137"/>
      <c r="H41" s="138"/>
      <c r="I41" s="95"/>
      <c r="J41" s="95"/>
      <c r="K41" s="95"/>
      <c r="L41" s="95"/>
      <c r="M41" s="89" t="s">
        <v>175</v>
      </c>
      <c r="N41" s="95"/>
      <c r="O41" s="120">
        <f>(1-(J31-J32))*H34+J33</f>
        <v>0</v>
      </c>
      <c r="P41" s="47"/>
      <c r="Q41" s="47"/>
      <c r="R41" s="47"/>
      <c r="S41" s="97">
        <v>40.0</v>
      </c>
      <c r="T41" s="98">
        <f t="shared" si="1"/>
        <v>116.041212</v>
      </c>
      <c r="U41" s="99">
        <f t="shared" si="2"/>
        <v>116.041212</v>
      </c>
      <c r="V41" s="100">
        <f t="shared" si="3"/>
        <v>135.51298</v>
      </c>
      <c r="W41" s="133"/>
      <c r="X41" s="47"/>
      <c r="Y41" s="47"/>
      <c r="Z41" s="47"/>
    </row>
    <row r="42">
      <c r="A42" s="2"/>
      <c r="B42" s="169" t="s">
        <v>197</v>
      </c>
      <c r="C42" s="140" t="s">
        <v>176</v>
      </c>
      <c r="D42" s="140" t="s">
        <v>198</v>
      </c>
      <c r="E42" s="140" t="s">
        <v>177</v>
      </c>
      <c r="F42" s="141">
        <f>(0.5*B36)+(1*B36)</f>
        <v>40.5</v>
      </c>
      <c r="G42" s="141">
        <f>(0.5*B36)+(1*B36)+(1*B36)</f>
        <v>67.5</v>
      </c>
      <c r="H42" s="142">
        <f>(B36*1)+(B36*1)</f>
        <v>54</v>
      </c>
      <c r="I42" s="95"/>
      <c r="J42" s="95"/>
      <c r="K42" s="95"/>
      <c r="L42" s="95"/>
      <c r="M42" s="89" t="s">
        <v>181</v>
      </c>
      <c r="N42" s="95"/>
      <c r="O42" s="143">
        <f>O41*H33</f>
        <v>0</v>
      </c>
      <c r="P42" s="47"/>
      <c r="Q42" s="47"/>
      <c r="R42" s="47"/>
      <c r="S42" s="60">
        <v>41.0</v>
      </c>
      <c r="T42" s="61">
        <f t="shared" si="1"/>
        <v>116.8700778</v>
      </c>
      <c r="U42" s="62">
        <f t="shared" si="2"/>
        <v>116.8700778</v>
      </c>
      <c r="V42" s="63">
        <f t="shared" si="3"/>
        <v>136.82864</v>
      </c>
      <c r="W42" s="59"/>
      <c r="X42" s="47"/>
      <c r="Y42" s="47"/>
      <c r="Z42" s="47"/>
    </row>
    <row r="43">
      <c r="A43" s="2"/>
      <c r="B43" s="170">
        <f>45+(B36*0.5)</f>
        <v>58.5</v>
      </c>
      <c r="C43" s="141">
        <f>75+(B36*1.5)</f>
        <v>115.5</v>
      </c>
      <c r="D43" s="132">
        <f>100+(B36*1)</f>
        <v>127</v>
      </c>
      <c r="E43" s="132">
        <f>75+(B36*1)</f>
        <v>102</v>
      </c>
      <c r="F43" s="132" t="s">
        <v>199</v>
      </c>
      <c r="G43" s="132" t="s">
        <v>200</v>
      </c>
      <c r="H43" s="145" t="s">
        <v>201</v>
      </c>
      <c r="I43" s="95"/>
      <c r="J43" s="95"/>
      <c r="K43" s="146"/>
      <c r="L43" s="95"/>
      <c r="M43" s="140" t="s">
        <v>182</v>
      </c>
      <c r="N43" s="147"/>
      <c r="O43" s="116" t="s">
        <v>183</v>
      </c>
      <c r="P43" s="167"/>
      <c r="Q43" s="167"/>
      <c r="R43" s="47"/>
      <c r="S43" s="60">
        <v>42.0</v>
      </c>
      <c r="T43" s="61">
        <f t="shared" si="1"/>
        <v>117.6989436</v>
      </c>
      <c r="U43" s="62">
        <f t="shared" si="2"/>
        <v>117.6989436</v>
      </c>
      <c r="V43" s="63">
        <f t="shared" si="3"/>
        <v>138.1443</v>
      </c>
      <c r="W43" s="59"/>
      <c r="X43" s="47"/>
      <c r="Y43" s="47"/>
      <c r="Z43" s="47"/>
    </row>
    <row r="44">
      <c r="A44" s="134" t="s">
        <v>184</v>
      </c>
      <c r="B44" s="171">
        <f>(B43*(1+J33)*(1-(J31-J32)))</f>
        <v>58.5</v>
      </c>
      <c r="C44" s="149">
        <f>(C43*(1+J33)*(1-(J31-J32)))</f>
        <v>115.5</v>
      </c>
      <c r="D44" s="149">
        <f>(D43*(1+J33)*(1-(J31-J32)))</f>
        <v>127</v>
      </c>
      <c r="E44" s="149">
        <f>(E43*(1+J33)*(1-(J31-J32)))</f>
        <v>102</v>
      </c>
      <c r="F44" s="172">
        <f>B44+C44+L44</f>
        <v>174</v>
      </c>
      <c r="G44" s="149">
        <f>L44+B44+C44+D44</f>
        <v>301</v>
      </c>
      <c r="H44" s="173">
        <f>C44+D44+L44</f>
        <v>242.5</v>
      </c>
      <c r="I44" s="135"/>
      <c r="J44" s="135"/>
      <c r="K44" s="154"/>
      <c r="L44" s="155"/>
      <c r="M44" s="156">
        <f>B40+D40+F40+H40</f>
        <v>142.8</v>
      </c>
      <c r="N44" s="157"/>
      <c r="O44" s="158">
        <f>M44+G44</f>
        <v>443.8</v>
      </c>
      <c r="P44" s="168"/>
      <c r="Q44" s="168"/>
      <c r="R44" s="47"/>
      <c r="S44" s="60">
        <v>43.0</v>
      </c>
      <c r="T44" s="61">
        <f t="shared" si="1"/>
        <v>118.5278094</v>
      </c>
      <c r="U44" s="62">
        <f t="shared" si="2"/>
        <v>118.5278094</v>
      </c>
      <c r="V44" s="63">
        <f t="shared" si="3"/>
        <v>139.45996</v>
      </c>
      <c r="W44" s="59"/>
      <c r="X44" s="47"/>
      <c r="Y44" s="47"/>
      <c r="Z44" s="47"/>
    </row>
    <row r="45">
      <c r="A45" s="159" t="s">
        <v>185</v>
      </c>
      <c r="B45" s="106" t="s">
        <v>186</v>
      </c>
      <c r="C45" s="160"/>
      <c r="D45" s="104" t="s">
        <v>187</v>
      </c>
      <c r="E45" s="161">
        <v>0.16</v>
      </c>
      <c r="F45" s="95"/>
      <c r="G45" s="95"/>
      <c r="H45" s="95"/>
      <c r="I45" s="95"/>
      <c r="J45" s="95"/>
      <c r="K45" s="95"/>
      <c r="L45" s="95"/>
      <c r="M45" s="95"/>
      <c r="N45" s="47"/>
      <c r="O45" s="47"/>
      <c r="P45" s="174"/>
      <c r="Q45" s="174"/>
      <c r="R45" s="47"/>
      <c r="S45" s="60">
        <v>44.0</v>
      </c>
      <c r="T45" s="61">
        <f t="shared" si="1"/>
        <v>119.3566752</v>
      </c>
      <c r="U45" s="62">
        <f t="shared" si="2"/>
        <v>119.3566752</v>
      </c>
      <c r="V45" s="63">
        <f t="shared" si="3"/>
        <v>140.77562</v>
      </c>
      <c r="W45" s="59"/>
      <c r="X45" s="47"/>
      <c r="Y45" s="47"/>
      <c r="Z45" s="47"/>
    </row>
    <row r="46">
      <c r="A46" s="89" t="s">
        <v>188</v>
      </c>
      <c r="B46" s="162">
        <v>3.0</v>
      </c>
      <c r="C46" s="95"/>
      <c r="D46" s="89" t="s">
        <v>189</v>
      </c>
      <c r="E46" s="163">
        <v>0.0</v>
      </c>
      <c r="F46" s="164" t="s">
        <v>190</v>
      </c>
      <c r="G46" s="165">
        <f>B40*E47</f>
        <v>232.4</v>
      </c>
      <c r="H46" s="89" t="s">
        <v>191</v>
      </c>
      <c r="I46" s="95"/>
      <c r="J46" s="95"/>
      <c r="K46" s="95"/>
      <c r="L46" s="95"/>
      <c r="M46" s="95"/>
      <c r="N46" s="47"/>
      <c r="O46" s="47"/>
      <c r="P46" s="175"/>
      <c r="Q46" s="175"/>
      <c r="R46" s="47"/>
      <c r="S46" s="60">
        <v>45.0</v>
      </c>
      <c r="T46" s="61">
        <f t="shared" si="1"/>
        <v>120.185541</v>
      </c>
      <c r="U46" s="62">
        <f t="shared" si="2"/>
        <v>120.185541</v>
      </c>
      <c r="V46" s="63">
        <f t="shared" si="3"/>
        <v>142.09128</v>
      </c>
      <c r="W46" s="59"/>
      <c r="X46" s="47"/>
      <c r="Y46" s="47"/>
      <c r="Z46" s="47"/>
    </row>
    <row r="47">
      <c r="A47" s="134" t="s">
        <v>192</v>
      </c>
      <c r="B47" s="134">
        <v>1.0</v>
      </c>
      <c r="C47" s="135"/>
      <c r="D47" s="134" t="s">
        <v>193</v>
      </c>
      <c r="E47" s="166">
        <f>B46+E46+B47</f>
        <v>4</v>
      </c>
      <c r="F47" s="89" t="s">
        <v>194</v>
      </c>
      <c r="G47" s="95">
        <f>G46/E47</f>
        <v>58.1</v>
      </c>
      <c r="H47" s="89" t="s">
        <v>195</v>
      </c>
      <c r="I47" s="95"/>
      <c r="J47" s="95"/>
      <c r="K47" s="95"/>
      <c r="L47" s="95"/>
      <c r="M47" s="95"/>
      <c r="N47" s="47"/>
      <c r="O47" s="47"/>
      <c r="P47" s="47"/>
      <c r="Q47" s="47"/>
      <c r="R47" s="47"/>
      <c r="S47" s="60">
        <v>46.0</v>
      </c>
      <c r="T47" s="61">
        <f t="shared" si="1"/>
        <v>121.0144068</v>
      </c>
      <c r="U47" s="62">
        <f t="shared" si="2"/>
        <v>121.0144068</v>
      </c>
      <c r="V47" s="63">
        <f t="shared" si="3"/>
        <v>143.40694</v>
      </c>
      <c r="W47" s="59"/>
      <c r="X47" s="47"/>
      <c r="Y47" s="47"/>
      <c r="Z47" s="47"/>
    </row>
    <row r="48">
      <c r="A48" s="95"/>
      <c r="B48" s="95"/>
      <c r="C48" s="95"/>
      <c r="D48" s="95"/>
      <c r="E48" s="95"/>
      <c r="F48" s="89" t="s">
        <v>196</v>
      </c>
      <c r="G48" s="95">
        <f>G46*(1-J31)</f>
        <v>232.4</v>
      </c>
      <c r="H48" s="95"/>
      <c r="I48" s="95"/>
      <c r="J48" s="95"/>
      <c r="K48" s="95"/>
      <c r="L48" s="95"/>
      <c r="M48" s="95"/>
      <c r="N48" s="47"/>
      <c r="O48" s="47"/>
      <c r="P48" s="167"/>
      <c r="Q48" s="167"/>
      <c r="R48" s="47"/>
      <c r="S48" s="60">
        <v>47.0</v>
      </c>
      <c r="T48" s="61">
        <f t="shared" si="1"/>
        <v>121.8432726</v>
      </c>
      <c r="U48" s="62">
        <f t="shared" si="2"/>
        <v>121.8432726</v>
      </c>
      <c r="V48" s="63">
        <f t="shared" si="3"/>
        <v>144.7226</v>
      </c>
      <c r="W48" s="59"/>
      <c r="X48" s="47"/>
      <c r="Y48" s="47"/>
      <c r="Z48" s="47"/>
    </row>
    <row r="49">
      <c r="A49" s="176"/>
      <c r="B49" s="4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47"/>
      <c r="S49" s="60">
        <v>48.0</v>
      </c>
      <c r="T49" s="61">
        <f t="shared" si="1"/>
        <v>122.6721384</v>
      </c>
      <c r="U49" s="62">
        <f t="shared" si="2"/>
        <v>122.6721384</v>
      </c>
      <c r="V49" s="63">
        <f t="shared" si="3"/>
        <v>146.03826</v>
      </c>
      <c r="W49" s="59"/>
      <c r="X49" s="47"/>
      <c r="Y49" s="47"/>
      <c r="Z49" s="47"/>
    </row>
    <row r="50">
      <c r="A50" s="47"/>
      <c r="B50" s="43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47"/>
      <c r="S50" s="60">
        <v>49.0</v>
      </c>
      <c r="T50" s="61">
        <f t="shared" si="1"/>
        <v>123.5010042</v>
      </c>
      <c r="U50" s="62">
        <f t="shared" si="2"/>
        <v>123.5010042</v>
      </c>
      <c r="V50" s="63">
        <f t="shared" si="3"/>
        <v>147.35392</v>
      </c>
      <c r="W50" s="59"/>
      <c r="X50" s="47"/>
      <c r="Y50" s="47"/>
      <c r="Z50" s="47"/>
    </row>
    <row r="51">
      <c r="A51" s="176"/>
      <c r="B51" s="179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47"/>
      <c r="S51" s="97">
        <v>50.0</v>
      </c>
      <c r="T51" s="98">
        <f t="shared" si="1"/>
        <v>124.32987</v>
      </c>
      <c r="U51" s="99">
        <f t="shared" si="2"/>
        <v>124.32987</v>
      </c>
      <c r="V51" s="100">
        <f t="shared" si="3"/>
        <v>148.66958</v>
      </c>
      <c r="W51" s="133"/>
      <c r="X51" s="47"/>
      <c r="Y51" s="47"/>
      <c r="Z51" s="47"/>
    </row>
    <row r="52">
      <c r="A52" s="176"/>
      <c r="B52" s="179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47"/>
      <c r="S52" s="180">
        <v>80.0</v>
      </c>
      <c r="T52" s="181">
        <f t="shared" si="1"/>
        <v>149.195844</v>
      </c>
      <c r="U52" s="182">
        <f t="shared" si="2"/>
        <v>149.195844</v>
      </c>
      <c r="V52" s="183">
        <f t="shared" si="3"/>
        <v>188.13938</v>
      </c>
      <c r="W52" s="67"/>
      <c r="X52" s="47"/>
      <c r="Y52" s="47"/>
      <c r="Z52" s="47"/>
    </row>
    <row r="53">
      <c r="B53" s="4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176"/>
      <c r="B55" s="179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176"/>
      <c r="B56" s="179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47"/>
      <c r="S56" s="47"/>
      <c r="T56" s="47"/>
      <c r="U56" s="47"/>
      <c r="V56" s="47"/>
      <c r="W56" s="47"/>
      <c r="X56" s="47"/>
      <c r="Y56" s="47"/>
      <c r="Z56" s="47"/>
    </row>
    <row r="57">
      <c r="B57" s="4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3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2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</sheetData>
  <mergeCells count="15">
    <mergeCell ref="A39:A40"/>
    <mergeCell ref="C39:C40"/>
    <mergeCell ref="E39:E40"/>
    <mergeCell ref="G39:G40"/>
    <mergeCell ref="F41:H41"/>
    <mergeCell ref="K43:K44"/>
    <mergeCell ref="A52:A53"/>
    <mergeCell ref="A56:A57"/>
    <mergeCell ref="H2:I2"/>
    <mergeCell ref="A20:A21"/>
    <mergeCell ref="C20:C21"/>
    <mergeCell ref="E20:E21"/>
    <mergeCell ref="G20:G21"/>
    <mergeCell ref="F22:H22"/>
    <mergeCell ref="K24:K25"/>
  </mergeCells>
  <conditionalFormatting sqref="C37:Q37">
    <cfRule type="colorScale" priority="1">
      <colorScale>
        <cfvo type="min"/>
        <cfvo type="percentile" val="50"/>
        <cfvo type="max"/>
        <color rgb="FF990000"/>
        <color rgb="FF000000"/>
        <color rgb="FF6AA84F"/>
      </colorScale>
    </cfRule>
  </conditionalFormatting>
  <conditionalFormatting sqref="C44:J44 L44:Q44">
    <cfRule type="colorScale" priority="2">
      <colorScale>
        <cfvo type="min"/>
        <cfvo type="percentile" val="50"/>
        <cfvo type="max"/>
        <color rgb="FF990000"/>
        <color rgb="FF000000"/>
        <color rgb="FF38761D"/>
      </colorScale>
    </cfRule>
  </conditionalFormatting>
  <conditionalFormatting sqref="D45:Q45">
    <cfRule type="colorScale" priority="3">
      <colorScale>
        <cfvo type="min"/>
        <cfvo type="percentile" val="50"/>
        <cfvo type="max"/>
        <color rgb="FF990000"/>
        <color rgb="FF000000"/>
        <color rgb="FF38761D"/>
      </colorScale>
    </cfRule>
  </conditionalFormatting>
  <conditionalFormatting sqref="C49:Q49">
    <cfRule type="colorScale" priority="4">
      <colorScale>
        <cfvo type="min"/>
        <cfvo type="percentile" val="50"/>
        <cfvo type="max"/>
        <color rgb="FF990000"/>
        <color rgb="FF000000"/>
        <color rgb="FF38761D"/>
      </colorScale>
    </cfRule>
  </conditionalFormatting>
  <conditionalFormatting sqref="C49:Q49">
    <cfRule type="colorScale" priority="5">
      <colorScale>
        <cfvo type="min"/>
        <cfvo type="max"/>
        <color rgb="FFFFFFFF"/>
        <color rgb="FF57BB8A"/>
      </colorScale>
    </cfRule>
  </conditionalFormatting>
  <conditionalFormatting sqref="C53:Q53">
    <cfRule type="colorScale" priority="6">
      <colorScale>
        <cfvo type="min"/>
        <cfvo type="percentile" val="50"/>
        <cfvo type="max"/>
        <color rgb="FF990000"/>
        <color rgb="FF000000"/>
        <color rgb="FF38761D"/>
      </colorScale>
    </cfRule>
  </conditionalFormatting>
  <conditionalFormatting sqref="C57:Q57">
    <cfRule type="colorScale" priority="7">
      <colorScale>
        <cfvo type="min"/>
        <cfvo type="percentile" val="50"/>
        <cfvo type="max"/>
        <color rgb="FF990000"/>
        <color rgb="FF000000"/>
        <color rgb="FF38761D"/>
      </colorScale>
    </cfRule>
  </conditionalFormatting>
  <conditionalFormatting sqref="B15 D15 F15 H15 B34 D34 F34 H34">
    <cfRule type="colorScale" priority="8">
      <colorScale>
        <cfvo type="formula" val="0"/>
        <cfvo type="formula" val="3"/>
        <color rgb="FF000000"/>
        <color rgb="FF9900FF"/>
      </colorScale>
    </cfRule>
  </conditionalFormatting>
  <conditionalFormatting sqref="J12 J31">
    <cfRule type="colorScale" priority="9">
      <colorScale>
        <cfvo type="formula" val="-0.9"/>
        <cfvo type="formula" val="0"/>
        <cfvo type="formula" val="0.9"/>
        <color rgb="FF38761D"/>
        <color rgb="FF000000"/>
        <color rgb="FF990000"/>
      </colorScale>
    </cfRule>
  </conditionalFormatting>
  <conditionalFormatting sqref="F8">
    <cfRule type="colorScale" priority="10">
      <colorScale>
        <cfvo type="formula" val="-0.5"/>
        <cfvo type="formula" val="0.5"/>
        <color rgb="FF38761D"/>
        <color rgb="FF990000"/>
      </colorScale>
    </cfRule>
  </conditionalFormatting>
  <conditionalFormatting sqref="H5:J5">
    <cfRule type="colorScale" priority="11">
      <colorScale>
        <cfvo type="min"/>
        <cfvo type="max"/>
        <color rgb="FF000000"/>
        <color rgb="FF274E13"/>
      </colorScale>
    </cfRule>
  </conditionalFormatting>
  <conditionalFormatting sqref="F1:F5">
    <cfRule type="notContainsText" dxfId="5" priority="12" operator="notContains" text="0">
      <formula>ISERROR(SEARCH(("0"),(F1)))</formula>
    </cfRule>
  </conditionalFormatting>
  <conditionalFormatting sqref="T2:V52">
    <cfRule type="expression" dxfId="6" priority="13">
      <formula>(T2=MAX($T2:$V2))*(T2&lt;&gt;"")</formula>
    </cfRule>
  </conditionalFormatting>
  <dataValidations>
    <dataValidation type="decimal" operator="lessThan" allowBlank="1" showDropDown="1" sqref="L21 L37">
      <formula1>21.0</formula1>
    </dataValidation>
    <dataValidation type="list" allowBlank="1" showErrorMessage="1" sqref="B2">
      <formula1>Table1[Hero Name]</formula1>
    </dataValidation>
    <dataValidation type="decimal" operator="lessThan" allowBlank="1" showDropDown="1" showErrorMessage="1" sqref="B3">
      <formula1>34.0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3.38"/>
    <col customWidth="1" min="2" max="2" width="8.25"/>
    <col customWidth="1" min="3" max="4" width="7.5"/>
    <col customWidth="1" min="5" max="5" width="9.0"/>
    <col customWidth="1" min="6" max="6" width="9.63"/>
    <col customWidth="1" min="7" max="7" width="9.88"/>
    <col customWidth="1" min="8" max="8" width="10.63"/>
    <col customWidth="1" min="9" max="9" width="12.0"/>
    <col customWidth="1" min="10" max="10" width="12.25"/>
    <col customWidth="1" min="11" max="11" width="10.88"/>
    <col customWidth="1" min="12" max="13" width="11.13"/>
    <col customWidth="1" min="14" max="14" width="10.38"/>
    <col customWidth="1" min="15" max="15" width="10.5"/>
    <col customWidth="1" min="16" max="16" width="9.63"/>
    <col customWidth="1" min="17" max="17" width="12.63"/>
    <col customWidth="1" min="18" max="18" width="12.75"/>
  </cols>
  <sheetData>
    <row r="1">
      <c r="A1" s="47"/>
      <c r="B1" s="43" t="s">
        <v>202</v>
      </c>
      <c r="U1" s="47"/>
      <c r="V1" s="47"/>
      <c r="W1" s="47"/>
      <c r="X1" s="47"/>
      <c r="Y1" s="47"/>
      <c r="Z1" s="47"/>
      <c r="AA1" s="47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3" ht="36.0" customHeight="1">
      <c r="A3" s="185" t="s">
        <v>203</v>
      </c>
      <c r="B3" s="185" t="s">
        <v>204</v>
      </c>
      <c r="C3" s="185" t="s">
        <v>205</v>
      </c>
      <c r="D3" s="185" t="s">
        <v>206</v>
      </c>
      <c r="E3" s="185" t="s">
        <v>207</v>
      </c>
      <c r="F3" s="185" t="s">
        <v>208</v>
      </c>
      <c r="G3" s="186" t="s">
        <v>209</v>
      </c>
      <c r="H3" s="185" t="s">
        <v>210</v>
      </c>
      <c r="I3" s="185" t="s">
        <v>211</v>
      </c>
      <c r="J3" s="185" t="s">
        <v>212</v>
      </c>
      <c r="K3" s="185" t="s">
        <v>213</v>
      </c>
      <c r="L3" s="185" t="s">
        <v>214</v>
      </c>
      <c r="M3" s="185" t="s">
        <v>215</v>
      </c>
      <c r="N3" s="185" t="s">
        <v>216</v>
      </c>
      <c r="O3" s="185" t="s">
        <v>217</v>
      </c>
      <c r="P3" s="185" t="s">
        <v>218</v>
      </c>
      <c r="Q3" s="185" t="s">
        <v>219</v>
      </c>
      <c r="R3" s="185" t="s">
        <v>220</v>
      </c>
      <c r="S3" s="185" t="s">
        <v>221</v>
      </c>
      <c r="T3" s="187" t="s">
        <v>222</v>
      </c>
      <c r="U3" s="188"/>
      <c r="V3" s="188"/>
      <c r="W3" s="188"/>
      <c r="X3" s="188"/>
      <c r="Y3" s="188"/>
      <c r="Z3" s="188"/>
      <c r="AA3" s="188"/>
    </row>
    <row r="4">
      <c r="A4" s="189" t="s">
        <v>72</v>
      </c>
      <c r="B4" s="190">
        <v>4.0</v>
      </c>
      <c r="C4" s="190">
        <v>5.0</v>
      </c>
      <c r="D4" s="190">
        <v>4.0</v>
      </c>
      <c r="E4" s="190">
        <v>4.0</v>
      </c>
      <c r="F4" s="190">
        <v>4.0</v>
      </c>
      <c r="G4" s="190">
        <v>4.0</v>
      </c>
      <c r="H4" s="190">
        <v>4.0</v>
      </c>
      <c r="I4" s="190">
        <v>4.0</v>
      </c>
      <c r="J4" s="190">
        <v>5.0</v>
      </c>
      <c r="K4" s="190">
        <v>5.0</v>
      </c>
      <c r="L4" s="190">
        <v>5.0</v>
      </c>
      <c r="M4" s="190">
        <v>4.0</v>
      </c>
      <c r="N4" s="190">
        <v>1.0</v>
      </c>
      <c r="O4" s="190">
        <v>4.0</v>
      </c>
      <c r="P4" s="190">
        <v>4.0</v>
      </c>
      <c r="Q4" s="190">
        <v>5.0</v>
      </c>
      <c r="R4" s="190">
        <v>4.0</v>
      </c>
      <c r="S4" s="190">
        <v>3.0</v>
      </c>
      <c r="T4" s="191">
        <f t="shared" ref="T4:T35" si="1">AVERAGE(J4:S4)</f>
        <v>4</v>
      </c>
      <c r="U4" s="47"/>
      <c r="V4" s="47"/>
      <c r="W4" s="47"/>
      <c r="X4" s="47"/>
      <c r="Y4" s="47"/>
      <c r="Z4" s="47"/>
      <c r="AA4" s="47"/>
    </row>
    <row r="5">
      <c r="A5" s="189" t="s">
        <v>94</v>
      </c>
      <c r="B5" s="192">
        <v>5.0</v>
      </c>
      <c r="C5" s="192">
        <v>5.0</v>
      </c>
      <c r="D5" s="192">
        <v>4.0</v>
      </c>
      <c r="E5" s="192">
        <v>4.0</v>
      </c>
      <c r="F5" s="192">
        <v>1.0</v>
      </c>
      <c r="G5" s="190">
        <v>3.0</v>
      </c>
      <c r="H5" s="192">
        <v>4.0</v>
      </c>
      <c r="I5" s="192">
        <v>3.0</v>
      </c>
      <c r="J5" s="192">
        <v>3.0</v>
      </c>
      <c r="K5" s="192">
        <v>4.0</v>
      </c>
      <c r="L5" s="192">
        <v>5.0</v>
      </c>
      <c r="M5" s="192">
        <v>4.0</v>
      </c>
      <c r="N5" s="192">
        <v>4.0</v>
      </c>
      <c r="O5" s="192">
        <v>5.0</v>
      </c>
      <c r="P5" s="192">
        <v>4.0</v>
      </c>
      <c r="Q5" s="192">
        <v>3.0</v>
      </c>
      <c r="R5" s="192">
        <v>3.0</v>
      </c>
      <c r="S5" s="192">
        <v>3.0</v>
      </c>
      <c r="T5" s="191">
        <f t="shared" si="1"/>
        <v>3.8</v>
      </c>
      <c r="U5" s="47"/>
      <c r="V5" s="47"/>
      <c r="W5" s="47"/>
      <c r="X5" s="47"/>
      <c r="Y5" s="47"/>
      <c r="Z5" s="47"/>
      <c r="AA5" s="47"/>
    </row>
    <row r="6">
      <c r="A6" s="189" t="s">
        <v>71</v>
      </c>
      <c r="B6" s="192">
        <v>5.0</v>
      </c>
      <c r="C6" s="192">
        <v>5.0</v>
      </c>
      <c r="D6" s="192">
        <v>4.0</v>
      </c>
      <c r="E6" s="192">
        <v>4.0</v>
      </c>
      <c r="F6" s="192">
        <v>1.0</v>
      </c>
      <c r="G6" s="190">
        <v>5.0</v>
      </c>
      <c r="H6" s="192">
        <v>4.0</v>
      </c>
      <c r="I6" s="192">
        <v>5.0</v>
      </c>
      <c r="J6" s="192">
        <v>5.0</v>
      </c>
      <c r="K6" s="192">
        <v>4.0</v>
      </c>
      <c r="L6" s="192">
        <v>3.0</v>
      </c>
      <c r="M6" s="192">
        <v>2.0</v>
      </c>
      <c r="N6" s="192">
        <v>5.0</v>
      </c>
      <c r="O6" s="192">
        <v>3.0</v>
      </c>
      <c r="P6" s="192">
        <v>5.0</v>
      </c>
      <c r="Q6" s="192">
        <v>4.0</v>
      </c>
      <c r="R6" s="192">
        <v>3.0</v>
      </c>
      <c r="S6" s="192">
        <v>3.0</v>
      </c>
      <c r="T6" s="191">
        <f t="shared" si="1"/>
        <v>3.7</v>
      </c>
      <c r="U6" s="47"/>
      <c r="V6" s="47"/>
      <c r="W6" s="47"/>
      <c r="X6" s="47"/>
      <c r="Y6" s="47"/>
      <c r="Z6" s="47"/>
      <c r="AA6" s="47"/>
    </row>
    <row r="7">
      <c r="A7" s="189" t="s">
        <v>98</v>
      </c>
      <c r="B7" s="190">
        <v>3.0</v>
      </c>
      <c r="C7" s="192">
        <v>5.0</v>
      </c>
      <c r="D7" s="192">
        <v>5.0</v>
      </c>
      <c r="E7" s="192">
        <v>1.0</v>
      </c>
      <c r="F7" s="192">
        <v>3.0</v>
      </c>
      <c r="G7" s="190">
        <v>1.0</v>
      </c>
      <c r="H7" s="190">
        <v>4.0</v>
      </c>
      <c r="I7" s="192">
        <v>5.0</v>
      </c>
      <c r="J7" s="192">
        <v>3.0</v>
      </c>
      <c r="K7" s="192">
        <v>3.0</v>
      </c>
      <c r="L7" s="192">
        <v>5.0</v>
      </c>
      <c r="M7" s="192">
        <v>5.0</v>
      </c>
      <c r="N7" s="192">
        <v>4.0</v>
      </c>
      <c r="O7" s="192">
        <v>1.0</v>
      </c>
      <c r="P7" s="190">
        <v>3.0</v>
      </c>
      <c r="Q7" s="190">
        <v>4.0</v>
      </c>
      <c r="R7" s="192">
        <v>1.0</v>
      </c>
      <c r="S7" s="192">
        <v>5.0</v>
      </c>
      <c r="T7" s="191">
        <f t="shared" si="1"/>
        <v>3.4</v>
      </c>
      <c r="U7" s="47"/>
      <c r="V7" s="47"/>
      <c r="W7" s="47"/>
      <c r="X7" s="47"/>
      <c r="Y7" s="47"/>
      <c r="Z7" s="47"/>
      <c r="AA7" s="47"/>
    </row>
    <row r="8">
      <c r="A8" s="189" t="s">
        <v>59</v>
      </c>
      <c r="B8" s="192">
        <v>4.0</v>
      </c>
      <c r="C8" s="192">
        <v>4.0</v>
      </c>
      <c r="D8" s="190">
        <v>5.0</v>
      </c>
      <c r="E8" s="192">
        <v>4.0</v>
      </c>
      <c r="F8" s="190">
        <v>4.0</v>
      </c>
      <c r="G8" s="190">
        <v>3.0</v>
      </c>
      <c r="H8" s="192">
        <v>5.0</v>
      </c>
      <c r="I8" s="192">
        <v>5.0</v>
      </c>
      <c r="J8" s="192">
        <v>5.0</v>
      </c>
      <c r="K8" s="192">
        <v>5.0</v>
      </c>
      <c r="L8" s="192">
        <v>3.0</v>
      </c>
      <c r="M8" s="192">
        <v>1.0</v>
      </c>
      <c r="N8" s="192">
        <v>5.0</v>
      </c>
      <c r="O8" s="192">
        <v>3.0</v>
      </c>
      <c r="P8" s="192">
        <v>4.0</v>
      </c>
      <c r="Q8" s="190">
        <v>4.0</v>
      </c>
      <c r="R8" s="192">
        <v>3.0</v>
      </c>
      <c r="S8" s="190">
        <v>4.0</v>
      </c>
      <c r="T8" s="191">
        <f t="shared" si="1"/>
        <v>3.7</v>
      </c>
      <c r="U8" s="47"/>
      <c r="V8" s="47"/>
      <c r="W8" s="47"/>
      <c r="X8" s="47"/>
      <c r="Y8" s="47"/>
      <c r="Z8" s="47"/>
      <c r="AA8" s="47"/>
    </row>
    <row r="9">
      <c r="A9" s="189" t="s">
        <v>81</v>
      </c>
      <c r="B9" s="192">
        <v>4.0</v>
      </c>
      <c r="C9" s="192">
        <v>5.0</v>
      </c>
      <c r="D9" s="190">
        <v>4.0</v>
      </c>
      <c r="E9" s="192">
        <v>5.0</v>
      </c>
      <c r="F9" s="192">
        <v>1.0</v>
      </c>
      <c r="G9" s="190">
        <v>2.0</v>
      </c>
      <c r="H9" s="192">
        <v>1.0</v>
      </c>
      <c r="I9" s="192">
        <v>5.0</v>
      </c>
      <c r="J9" s="192">
        <v>5.0</v>
      </c>
      <c r="K9" s="192">
        <v>5.0</v>
      </c>
      <c r="L9" s="190">
        <v>5.0</v>
      </c>
      <c r="M9" s="192">
        <v>1.0</v>
      </c>
      <c r="N9" s="190">
        <v>3.0</v>
      </c>
      <c r="O9" s="192">
        <v>1.0</v>
      </c>
      <c r="P9" s="192">
        <v>5.0</v>
      </c>
      <c r="Q9" s="190">
        <v>5.0</v>
      </c>
      <c r="R9" s="192">
        <v>5.0</v>
      </c>
      <c r="S9" s="190">
        <v>2.0</v>
      </c>
      <c r="T9" s="191">
        <f t="shared" si="1"/>
        <v>3.7</v>
      </c>
      <c r="U9" s="47"/>
      <c r="V9" s="47"/>
      <c r="W9" s="47"/>
      <c r="X9" s="47"/>
      <c r="Y9" s="47"/>
      <c r="Z9" s="47"/>
      <c r="AA9" s="47"/>
    </row>
    <row r="10">
      <c r="A10" s="189" t="s">
        <v>90</v>
      </c>
      <c r="B10" s="190">
        <v>2.0</v>
      </c>
      <c r="C10" s="190">
        <v>3.0</v>
      </c>
      <c r="D10" s="192">
        <v>5.0</v>
      </c>
      <c r="E10" s="192">
        <v>5.0</v>
      </c>
      <c r="F10" s="192">
        <v>1.0</v>
      </c>
      <c r="G10" s="190">
        <v>1.0</v>
      </c>
      <c r="H10" s="190">
        <v>4.0</v>
      </c>
      <c r="I10" s="190">
        <v>2.0</v>
      </c>
      <c r="J10" s="190">
        <v>2.0</v>
      </c>
      <c r="K10" s="192">
        <v>4.0</v>
      </c>
      <c r="L10" s="192">
        <v>5.0</v>
      </c>
      <c r="M10" s="192">
        <v>1.0</v>
      </c>
      <c r="N10" s="192">
        <v>1.0</v>
      </c>
      <c r="O10" s="192">
        <v>1.0</v>
      </c>
      <c r="P10" s="192">
        <v>5.0</v>
      </c>
      <c r="Q10" s="192">
        <v>5.0</v>
      </c>
      <c r="R10" s="192">
        <v>5.0</v>
      </c>
      <c r="S10" s="192">
        <v>5.0</v>
      </c>
      <c r="T10" s="191">
        <f t="shared" si="1"/>
        <v>3.4</v>
      </c>
      <c r="U10" s="47"/>
      <c r="V10" s="47"/>
      <c r="W10" s="47"/>
      <c r="X10" s="47"/>
      <c r="Y10" s="47"/>
      <c r="Z10" s="47"/>
      <c r="AA10" s="47"/>
    </row>
    <row r="11">
      <c r="A11" s="189" t="s">
        <v>89</v>
      </c>
      <c r="B11" s="190">
        <v>3.0</v>
      </c>
      <c r="C11" s="192">
        <v>5.0</v>
      </c>
      <c r="D11" s="190">
        <v>4.0</v>
      </c>
      <c r="E11" s="192">
        <v>2.0</v>
      </c>
      <c r="F11" s="192">
        <v>1.0</v>
      </c>
      <c r="G11" s="190">
        <v>1.0</v>
      </c>
      <c r="H11" s="192">
        <v>2.0</v>
      </c>
      <c r="I11" s="192">
        <v>3.0</v>
      </c>
      <c r="J11" s="192">
        <v>4.0</v>
      </c>
      <c r="K11" s="192">
        <v>5.0</v>
      </c>
      <c r="L11" s="192">
        <v>4.0</v>
      </c>
      <c r="M11" s="192">
        <v>2.0</v>
      </c>
      <c r="N11" s="192">
        <v>1.0</v>
      </c>
      <c r="O11" s="192">
        <v>4.0</v>
      </c>
      <c r="P11" s="192">
        <v>5.0</v>
      </c>
      <c r="Q11" s="192">
        <v>4.0</v>
      </c>
      <c r="R11" s="192">
        <v>2.0</v>
      </c>
      <c r="S11" s="190">
        <v>3.0</v>
      </c>
      <c r="T11" s="191">
        <f t="shared" si="1"/>
        <v>3.4</v>
      </c>
      <c r="U11" s="47"/>
      <c r="V11" s="47"/>
      <c r="W11" s="47"/>
      <c r="X11" s="47"/>
      <c r="Y11" s="47"/>
      <c r="Z11" s="47"/>
      <c r="AA11" s="47"/>
    </row>
    <row r="12">
      <c r="A12" s="189" t="s">
        <v>73</v>
      </c>
      <c r="B12" s="190">
        <v>1.0</v>
      </c>
      <c r="C12" s="192">
        <v>5.0</v>
      </c>
      <c r="D12" s="192">
        <v>4.0</v>
      </c>
      <c r="E12" s="192">
        <v>5.0</v>
      </c>
      <c r="F12" s="192">
        <v>1.0</v>
      </c>
      <c r="G12" s="190">
        <v>3.0</v>
      </c>
      <c r="H12" s="192">
        <v>4.0</v>
      </c>
      <c r="I12" s="192">
        <v>5.0</v>
      </c>
      <c r="J12" s="192">
        <v>5.0</v>
      </c>
      <c r="K12" s="192">
        <v>5.0</v>
      </c>
      <c r="L12" s="192">
        <v>4.0</v>
      </c>
      <c r="M12" s="192">
        <v>2.0</v>
      </c>
      <c r="N12" s="192">
        <v>4.0</v>
      </c>
      <c r="O12" s="192">
        <v>2.0</v>
      </c>
      <c r="P12" s="192">
        <v>4.0</v>
      </c>
      <c r="Q12" s="192">
        <v>3.0</v>
      </c>
      <c r="R12" s="192">
        <v>3.0</v>
      </c>
      <c r="S12" s="192">
        <v>2.0</v>
      </c>
      <c r="T12" s="191">
        <f t="shared" si="1"/>
        <v>3.4</v>
      </c>
      <c r="U12" s="47"/>
      <c r="V12" s="47"/>
      <c r="W12" s="47"/>
      <c r="X12" s="47"/>
      <c r="Y12" s="47"/>
      <c r="Z12" s="47"/>
      <c r="AA12" s="47"/>
    </row>
    <row r="13">
      <c r="A13" s="189" t="s">
        <v>100</v>
      </c>
      <c r="B13" s="192">
        <v>4.0</v>
      </c>
      <c r="C13" s="192">
        <v>4.0</v>
      </c>
      <c r="D13" s="192">
        <v>4.0</v>
      </c>
      <c r="E13" s="192">
        <v>3.0</v>
      </c>
      <c r="F13" s="192">
        <v>1.0</v>
      </c>
      <c r="G13" s="190">
        <v>1.0</v>
      </c>
      <c r="H13" s="192">
        <v>3.0</v>
      </c>
      <c r="I13" s="192">
        <v>1.0</v>
      </c>
      <c r="J13" s="190">
        <v>2.0</v>
      </c>
      <c r="K13" s="192">
        <v>1.0</v>
      </c>
      <c r="L13" s="192">
        <v>4.0</v>
      </c>
      <c r="M13" s="192">
        <v>3.0</v>
      </c>
      <c r="N13" s="192">
        <v>1.0</v>
      </c>
      <c r="O13" s="192">
        <v>4.0</v>
      </c>
      <c r="P13" s="192">
        <v>3.0</v>
      </c>
      <c r="Q13" s="192">
        <v>5.0</v>
      </c>
      <c r="R13" s="192">
        <v>4.0</v>
      </c>
      <c r="S13" s="192">
        <v>5.0</v>
      </c>
      <c r="T13" s="191">
        <f t="shared" si="1"/>
        <v>3.2</v>
      </c>
      <c r="U13" s="47"/>
      <c r="V13" s="47"/>
      <c r="W13" s="47"/>
      <c r="X13" s="47"/>
      <c r="Y13" s="47"/>
      <c r="Z13" s="47"/>
      <c r="AA13" s="47"/>
    </row>
    <row r="14">
      <c r="A14" s="189" t="s">
        <v>57</v>
      </c>
      <c r="B14" s="192">
        <v>5.0</v>
      </c>
      <c r="C14" s="192">
        <v>5.0</v>
      </c>
      <c r="D14" s="192">
        <v>4.0</v>
      </c>
      <c r="E14" s="192">
        <v>5.0</v>
      </c>
      <c r="F14" s="192">
        <v>1.0</v>
      </c>
      <c r="G14" s="190">
        <v>1.0</v>
      </c>
      <c r="H14" s="192">
        <v>2.0</v>
      </c>
      <c r="I14" s="192">
        <v>5.0</v>
      </c>
      <c r="J14" s="192">
        <v>5.0</v>
      </c>
      <c r="K14" s="192">
        <v>5.0</v>
      </c>
      <c r="L14" s="192">
        <v>3.0</v>
      </c>
      <c r="M14" s="192">
        <v>1.0</v>
      </c>
      <c r="N14" s="192">
        <v>3.0</v>
      </c>
      <c r="O14" s="192">
        <v>1.0</v>
      </c>
      <c r="P14" s="192">
        <v>4.0</v>
      </c>
      <c r="Q14" s="192">
        <v>4.0</v>
      </c>
      <c r="R14" s="192">
        <v>5.0</v>
      </c>
      <c r="S14" s="192">
        <v>1.0</v>
      </c>
      <c r="T14" s="191">
        <f t="shared" si="1"/>
        <v>3.2</v>
      </c>
      <c r="U14" s="47"/>
      <c r="V14" s="47"/>
      <c r="W14" s="47"/>
      <c r="X14" s="47"/>
      <c r="Y14" s="47"/>
      <c r="Z14" s="47"/>
      <c r="AA14" s="47"/>
    </row>
    <row r="15">
      <c r="A15" s="189" t="s">
        <v>93</v>
      </c>
      <c r="B15" s="192">
        <v>5.0</v>
      </c>
      <c r="C15" s="190">
        <v>3.0</v>
      </c>
      <c r="D15" s="192">
        <v>5.0</v>
      </c>
      <c r="E15" s="192">
        <v>3.0</v>
      </c>
      <c r="F15" s="192">
        <v>1.0</v>
      </c>
      <c r="G15" s="190">
        <v>1.0</v>
      </c>
      <c r="H15" s="190">
        <v>2.0</v>
      </c>
      <c r="I15" s="192">
        <v>2.0</v>
      </c>
      <c r="J15" s="192">
        <v>2.0</v>
      </c>
      <c r="K15" s="190">
        <v>2.0</v>
      </c>
      <c r="L15" s="192">
        <v>4.0</v>
      </c>
      <c r="M15" s="192">
        <v>5.0</v>
      </c>
      <c r="N15" s="192">
        <v>1.0</v>
      </c>
      <c r="O15" s="192">
        <v>1.0</v>
      </c>
      <c r="P15" s="192">
        <v>2.0</v>
      </c>
      <c r="Q15" s="192">
        <v>5.0</v>
      </c>
      <c r="R15" s="192">
        <v>5.0</v>
      </c>
      <c r="S15" s="192">
        <v>5.0</v>
      </c>
      <c r="T15" s="191">
        <f t="shared" si="1"/>
        <v>3.2</v>
      </c>
      <c r="U15" s="47"/>
      <c r="V15" s="47"/>
      <c r="W15" s="47"/>
      <c r="X15" s="47"/>
      <c r="Y15" s="47"/>
      <c r="Z15" s="47"/>
      <c r="AA15" s="47"/>
    </row>
    <row r="16">
      <c r="A16" s="189" t="s">
        <v>66</v>
      </c>
      <c r="B16" s="192">
        <v>4.0</v>
      </c>
      <c r="C16" s="192">
        <v>4.0</v>
      </c>
      <c r="D16" s="192">
        <v>4.0</v>
      </c>
      <c r="E16" s="192">
        <v>4.0</v>
      </c>
      <c r="F16" s="192">
        <v>1.0</v>
      </c>
      <c r="G16" s="190">
        <v>4.0</v>
      </c>
      <c r="H16" s="192">
        <v>1.0</v>
      </c>
      <c r="I16" s="192">
        <v>2.0</v>
      </c>
      <c r="J16" s="192">
        <v>2.0</v>
      </c>
      <c r="K16" s="192">
        <v>2.0</v>
      </c>
      <c r="L16" s="192">
        <v>2.0</v>
      </c>
      <c r="M16" s="192">
        <v>5.0</v>
      </c>
      <c r="N16" s="192">
        <v>1.0</v>
      </c>
      <c r="O16" s="192">
        <v>2.0</v>
      </c>
      <c r="P16" s="192">
        <v>5.0</v>
      </c>
      <c r="Q16" s="192">
        <v>4.0</v>
      </c>
      <c r="R16" s="192">
        <v>4.0</v>
      </c>
      <c r="S16" s="192">
        <v>4.0</v>
      </c>
      <c r="T16" s="191">
        <f t="shared" si="1"/>
        <v>3.1</v>
      </c>
      <c r="U16" s="47"/>
      <c r="V16" s="47"/>
      <c r="W16" s="47"/>
      <c r="X16" s="47"/>
      <c r="Y16" s="47"/>
      <c r="Z16" s="47"/>
      <c r="AA16" s="47"/>
    </row>
    <row r="17">
      <c r="A17" s="189" t="s">
        <v>85</v>
      </c>
      <c r="B17" s="192">
        <v>5.0</v>
      </c>
      <c r="C17" s="190">
        <v>4.0</v>
      </c>
      <c r="D17" s="192">
        <v>2.0</v>
      </c>
      <c r="E17" s="192">
        <v>2.0</v>
      </c>
      <c r="F17" s="192">
        <v>1.0</v>
      </c>
      <c r="G17" s="190">
        <v>1.0</v>
      </c>
      <c r="H17" s="192">
        <v>5.0</v>
      </c>
      <c r="I17" s="192">
        <v>3.0</v>
      </c>
      <c r="J17" s="192">
        <v>4.0</v>
      </c>
      <c r="K17" s="192">
        <v>3.0</v>
      </c>
      <c r="L17" s="192">
        <v>2.0</v>
      </c>
      <c r="M17" s="192">
        <v>4.0</v>
      </c>
      <c r="N17" s="192">
        <v>5.0</v>
      </c>
      <c r="O17" s="192">
        <v>3.0</v>
      </c>
      <c r="P17" s="192">
        <v>4.0</v>
      </c>
      <c r="Q17" s="192">
        <v>2.0</v>
      </c>
      <c r="R17" s="192">
        <v>2.0</v>
      </c>
      <c r="S17" s="192">
        <v>2.0</v>
      </c>
      <c r="T17" s="191">
        <f t="shared" si="1"/>
        <v>3.1</v>
      </c>
      <c r="U17" s="47"/>
      <c r="V17" s="47"/>
      <c r="W17" s="47"/>
      <c r="X17" s="47"/>
      <c r="Y17" s="47"/>
      <c r="Z17" s="47"/>
      <c r="AA17" s="47"/>
    </row>
    <row r="18">
      <c r="A18" s="189" t="s">
        <v>76</v>
      </c>
      <c r="B18" s="192">
        <v>3.0</v>
      </c>
      <c r="C18" s="192">
        <v>5.0</v>
      </c>
      <c r="D18" s="192">
        <v>3.0</v>
      </c>
      <c r="E18" s="192">
        <v>4.0</v>
      </c>
      <c r="F18" s="192">
        <v>3.0</v>
      </c>
      <c r="G18" s="190">
        <v>3.0</v>
      </c>
      <c r="H18" s="192">
        <v>1.0</v>
      </c>
      <c r="I18" s="192">
        <v>3.0</v>
      </c>
      <c r="J18" s="192">
        <v>4.0</v>
      </c>
      <c r="K18" s="192">
        <v>5.0</v>
      </c>
      <c r="L18" s="192">
        <v>3.0</v>
      </c>
      <c r="M18" s="192">
        <v>4.0</v>
      </c>
      <c r="N18" s="192">
        <v>2.0</v>
      </c>
      <c r="O18" s="192">
        <v>1.0</v>
      </c>
      <c r="P18" s="192">
        <v>2.0</v>
      </c>
      <c r="Q18" s="192">
        <v>3.0</v>
      </c>
      <c r="R18" s="192">
        <v>3.0</v>
      </c>
      <c r="S18" s="192">
        <v>4.0</v>
      </c>
      <c r="T18" s="191">
        <f t="shared" si="1"/>
        <v>3.1</v>
      </c>
      <c r="U18" s="47"/>
      <c r="V18" s="47"/>
      <c r="W18" s="47"/>
      <c r="X18" s="47"/>
      <c r="Y18" s="47"/>
      <c r="Z18" s="47"/>
      <c r="AA18" s="47"/>
    </row>
    <row r="19">
      <c r="A19" s="189" t="s">
        <v>97</v>
      </c>
      <c r="B19" s="190">
        <v>5.0</v>
      </c>
      <c r="C19" s="190">
        <v>5.0</v>
      </c>
      <c r="D19" s="190">
        <v>4.0</v>
      </c>
      <c r="E19" s="190">
        <v>3.0</v>
      </c>
      <c r="F19" s="190">
        <v>1.0</v>
      </c>
      <c r="G19" s="190">
        <v>3.0</v>
      </c>
      <c r="H19" s="190">
        <v>2.0</v>
      </c>
      <c r="I19" s="190">
        <v>5.0</v>
      </c>
      <c r="J19" s="190">
        <v>2.0</v>
      </c>
      <c r="K19" s="190">
        <v>2.0</v>
      </c>
      <c r="L19" s="190">
        <v>4.0</v>
      </c>
      <c r="M19" s="190">
        <v>5.0</v>
      </c>
      <c r="N19" s="190">
        <v>1.0</v>
      </c>
      <c r="O19" s="190">
        <v>1.0</v>
      </c>
      <c r="P19" s="190">
        <v>4.0</v>
      </c>
      <c r="Q19" s="190">
        <v>4.0</v>
      </c>
      <c r="R19" s="190">
        <v>4.0</v>
      </c>
      <c r="S19" s="190">
        <v>4.0</v>
      </c>
      <c r="T19" s="191">
        <f t="shared" si="1"/>
        <v>3.1</v>
      </c>
      <c r="U19" s="47"/>
      <c r="V19" s="47"/>
      <c r="W19" s="47"/>
      <c r="X19" s="47"/>
      <c r="Y19" s="47"/>
      <c r="Z19" s="47"/>
      <c r="AA19" s="47"/>
    </row>
    <row r="20">
      <c r="A20" s="189" t="s">
        <v>77</v>
      </c>
      <c r="B20" s="192">
        <v>4.0</v>
      </c>
      <c r="C20" s="190">
        <v>5.0</v>
      </c>
      <c r="D20" s="192">
        <v>2.0</v>
      </c>
      <c r="E20" s="192">
        <v>4.0</v>
      </c>
      <c r="F20" s="192">
        <v>1.0</v>
      </c>
      <c r="G20" s="190">
        <v>1.0</v>
      </c>
      <c r="H20" s="190">
        <v>3.0</v>
      </c>
      <c r="I20" s="192">
        <v>3.0</v>
      </c>
      <c r="J20" s="192">
        <v>3.0</v>
      </c>
      <c r="K20" s="192">
        <v>3.0</v>
      </c>
      <c r="L20" s="190">
        <v>5.0</v>
      </c>
      <c r="M20" s="192">
        <v>2.0</v>
      </c>
      <c r="N20" s="192">
        <v>1.0</v>
      </c>
      <c r="O20" s="192">
        <v>1.0</v>
      </c>
      <c r="P20" s="192">
        <v>4.0</v>
      </c>
      <c r="Q20" s="192">
        <v>4.0</v>
      </c>
      <c r="R20" s="190">
        <v>5.0</v>
      </c>
      <c r="S20" s="192">
        <v>3.0</v>
      </c>
      <c r="T20" s="191">
        <f t="shared" si="1"/>
        <v>3.1</v>
      </c>
      <c r="U20" s="47"/>
      <c r="V20" s="47"/>
      <c r="W20" s="47"/>
      <c r="X20" s="47"/>
      <c r="Y20" s="47"/>
      <c r="Z20" s="47"/>
      <c r="AA20" s="47"/>
    </row>
    <row r="21">
      <c r="A21" s="189" t="s">
        <v>78</v>
      </c>
      <c r="B21" s="192">
        <v>5.0</v>
      </c>
      <c r="C21" s="192">
        <v>4.0</v>
      </c>
      <c r="D21" s="192">
        <v>4.0</v>
      </c>
      <c r="E21" s="192">
        <v>1.0</v>
      </c>
      <c r="F21" s="190">
        <v>5.0</v>
      </c>
      <c r="G21" s="190">
        <v>1.0</v>
      </c>
      <c r="H21" s="190">
        <v>5.0</v>
      </c>
      <c r="I21" s="192">
        <v>5.0</v>
      </c>
      <c r="J21" s="192">
        <v>2.0</v>
      </c>
      <c r="K21" s="192">
        <v>3.0</v>
      </c>
      <c r="L21" s="192">
        <v>5.0</v>
      </c>
      <c r="M21" s="192">
        <v>5.0</v>
      </c>
      <c r="N21" s="192">
        <v>4.0</v>
      </c>
      <c r="O21" s="192">
        <v>1.0</v>
      </c>
      <c r="P21" s="192">
        <v>2.0</v>
      </c>
      <c r="Q21" s="192">
        <v>3.0</v>
      </c>
      <c r="R21" s="192">
        <v>3.0</v>
      </c>
      <c r="S21" s="192">
        <v>2.0</v>
      </c>
      <c r="T21" s="191">
        <f t="shared" si="1"/>
        <v>3</v>
      </c>
      <c r="U21" s="47"/>
      <c r="V21" s="47"/>
      <c r="W21" s="47"/>
      <c r="X21" s="47"/>
      <c r="Y21" s="47"/>
      <c r="Z21" s="47"/>
      <c r="AA21" s="47"/>
    </row>
    <row r="22">
      <c r="A22" s="189" t="s">
        <v>65</v>
      </c>
      <c r="B22" s="190">
        <v>1.0</v>
      </c>
      <c r="C22" s="192">
        <v>3.0</v>
      </c>
      <c r="D22" s="192">
        <v>4.0</v>
      </c>
      <c r="E22" s="192">
        <v>3.0</v>
      </c>
      <c r="F22" s="192">
        <v>1.0</v>
      </c>
      <c r="G22" s="190">
        <v>3.0</v>
      </c>
      <c r="H22" s="192">
        <v>5.0</v>
      </c>
      <c r="I22" s="192">
        <v>3.0</v>
      </c>
      <c r="J22" s="192">
        <v>2.0</v>
      </c>
      <c r="K22" s="192">
        <v>3.0</v>
      </c>
      <c r="L22" s="192">
        <v>5.0</v>
      </c>
      <c r="M22" s="192">
        <v>3.0</v>
      </c>
      <c r="N22" s="192">
        <v>1.0</v>
      </c>
      <c r="O22" s="192">
        <v>5.0</v>
      </c>
      <c r="P22" s="192">
        <v>4.0</v>
      </c>
      <c r="Q22" s="192">
        <v>2.0</v>
      </c>
      <c r="R22" s="192">
        <v>2.0</v>
      </c>
      <c r="S22" s="192">
        <v>3.0</v>
      </c>
      <c r="T22" s="191">
        <f t="shared" si="1"/>
        <v>3</v>
      </c>
      <c r="U22" s="47"/>
      <c r="V22" s="47"/>
      <c r="W22" s="47"/>
      <c r="X22" s="47"/>
      <c r="Y22" s="47"/>
      <c r="Z22" s="47"/>
      <c r="AA22" s="47"/>
    </row>
    <row r="23">
      <c r="A23" s="189" t="s">
        <v>67</v>
      </c>
      <c r="B23" s="192">
        <v>3.0</v>
      </c>
      <c r="C23" s="192">
        <v>4.0</v>
      </c>
      <c r="D23" s="192">
        <v>5.0</v>
      </c>
      <c r="E23" s="192">
        <v>5.0</v>
      </c>
      <c r="F23" s="192">
        <v>1.0</v>
      </c>
      <c r="G23" s="190">
        <v>5.0</v>
      </c>
      <c r="H23" s="192">
        <v>4.0</v>
      </c>
      <c r="I23" s="192">
        <v>1.0</v>
      </c>
      <c r="J23" s="192">
        <v>3.0</v>
      </c>
      <c r="K23" s="192">
        <v>3.0</v>
      </c>
      <c r="L23" s="192">
        <v>5.0</v>
      </c>
      <c r="M23" s="192">
        <v>1.0</v>
      </c>
      <c r="N23" s="192">
        <v>4.0</v>
      </c>
      <c r="O23" s="192">
        <v>1.0</v>
      </c>
      <c r="P23" s="192">
        <v>2.0</v>
      </c>
      <c r="Q23" s="192">
        <v>5.0</v>
      </c>
      <c r="R23" s="192">
        <v>4.0</v>
      </c>
      <c r="S23" s="192">
        <v>2.0</v>
      </c>
      <c r="T23" s="191">
        <f t="shared" si="1"/>
        <v>3</v>
      </c>
      <c r="U23" s="47"/>
      <c r="V23" s="47"/>
      <c r="W23" s="47"/>
      <c r="X23" s="47"/>
      <c r="Y23" s="47"/>
      <c r="Z23" s="47"/>
      <c r="AA23" s="47"/>
    </row>
    <row r="24">
      <c r="A24" s="189" t="s">
        <v>79</v>
      </c>
      <c r="B24" s="190">
        <v>2.0</v>
      </c>
      <c r="C24" s="190">
        <v>4.0</v>
      </c>
      <c r="D24" s="190">
        <v>3.0</v>
      </c>
      <c r="E24" s="190">
        <v>3.0</v>
      </c>
      <c r="F24" s="190">
        <v>1.0</v>
      </c>
      <c r="G24" s="190">
        <v>3.0</v>
      </c>
      <c r="H24" s="190">
        <v>3.0</v>
      </c>
      <c r="I24" s="190">
        <v>2.0</v>
      </c>
      <c r="J24" s="190">
        <v>4.0</v>
      </c>
      <c r="K24" s="190">
        <v>4.0</v>
      </c>
      <c r="L24" s="190">
        <v>2.0</v>
      </c>
      <c r="M24" s="190">
        <v>1.0</v>
      </c>
      <c r="N24" s="190">
        <v>3.0</v>
      </c>
      <c r="O24" s="190">
        <v>3.0</v>
      </c>
      <c r="P24" s="190">
        <v>3.0</v>
      </c>
      <c r="Q24" s="190">
        <v>3.0</v>
      </c>
      <c r="R24" s="190">
        <v>3.0</v>
      </c>
      <c r="S24" s="190">
        <v>3.0</v>
      </c>
      <c r="T24" s="191">
        <f t="shared" si="1"/>
        <v>2.9</v>
      </c>
      <c r="U24" s="47"/>
      <c r="V24" s="47"/>
      <c r="W24" s="47"/>
      <c r="X24" s="47"/>
      <c r="Y24" s="47"/>
      <c r="Z24" s="47"/>
      <c r="AA24" s="47"/>
    </row>
    <row r="25">
      <c r="A25" s="189" t="s">
        <v>99</v>
      </c>
      <c r="B25" s="190">
        <v>3.0</v>
      </c>
      <c r="C25" s="190">
        <v>5.0</v>
      </c>
      <c r="D25" s="190">
        <v>4.0</v>
      </c>
      <c r="E25" s="192">
        <v>3.0</v>
      </c>
      <c r="F25" s="192">
        <v>3.0</v>
      </c>
      <c r="G25" s="190">
        <v>1.0</v>
      </c>
      <c r="H25" s="192">
        <v>1.0</v>
      </c>
      <c r="I25" s="192">
        <v>5.0</v>
      </c>
      <c r="J25" s="192">
        <v>4.0</v>
      </c>
      <c r="K25" s="192">
        <v>5.0</v>
      </c>
      <c r="L25" s="192">
        <v>1.0</v>
      </c>
      <c r="M25" s="192">
        <v>3.0</v>
      </c>
      <c r="N25" s="190">
        <v>4.0</v>
      </c>
      <c r="O25" s="190">
        <v>2.0</v>
      </c>
      <c r="P25" s="192">
        <v>3.0</v>
      </c>
      <c r="Q25" s="190">
        <v>3.0</v>
      </c>
      <c r="R25" s="192">
        <v>2.0</v>
      </c>
      <c r="S25" s="192">
        <v>2.0</v>
      </c>
      <c r="T25" s="191">
        <f t="shared" si="1"/>
        <v>2.9</v>
      </c>
      <c r="U25" s="47"/>
      <c r="V25" s="47"/>
      <c r="W25" s="47"/>
      <c r="X25" s="47"/>
      <c r="Y25" s="47"/>
      <c r="Z25" s="47"/>
      <c r="AA25" s="47"/>
    </row>
    <row r="26">
      <c r="A26" s="189" t="s">
        <v>86</v>
      </c>
      <c r="B26" s="190">
        <v>2.0</v>
      </c>
      <c r="C26" s="190">
        <v>2.0</v>
      </c>
      <c r="D26" s="190">
        <v>5.0</v>
      </c>
      <c r="E26" s="190">
        <v>3.0</v>
      </c>
      <c r="F26" s="190">
        <v>1.0</v>
      </c>
      <c r="G26" s="190">
        <v>1.0</v>
      </c>
      <c r="H26" s="190">
        <v>3.0</v>
      </c>
      <c r="I26" s="190">
        <v>1.0</v>
      </c>
      <c r="J26" s="190">
        <v>4.0</v>
      </c>
      <c r="K26" s="190">
        <v>3.0</v>
      </c>
      <c r="L26" s="190">
        <v>1.0</v>
      </c>
      <c r="M26" s="190">
        <v>1.0</v>
      </c>
      <c r="N26" s="190">
        <v>2.0</v>
      </c>
      <c r="O26" s="190">
        <v>1.0</v>
      </c>
      <c r="P26" s="190">
        <v>1.0</v>
      </c>
      <c r="Q26" s="190">
        <v>5.0</v>
      </c>
      <c r="R26" s="190">
        <v>5.0</v>
      </c>
      <c r="S26" s="190">
        <v>5.0</v>
      </c>
      <c r="T26" s="191">
        <f t="shared" si="1"/>
        <v>2.8</v>
      </c>
      <c r="U26" s="47"/>
      <c r="V26" s="47"/>
      <c r="W26" s="47"/>
      <c r="X26" s="47"/>
      <c r="Y26" s="47"/>
      <c r="Z26" s="47"/>
      <c r="AA26" s="47"/>
    </row>
    <row r="27">
      <c r="A27" s="189" t="s">
        <v>91</v>
      </c>
      <c r="B27" s="190">
        <v>5.0</v>
      </c>
      <c r="C27" s="190">
        <v>4.0</v>
      </c>
      <c r="D27" s="190">
        <v>3.0</v>
      </c>
      <c r="E27" s="190">
        <v>5.0</v>
      </c>
      <c r="F27" s="190">
        <v>2.0</v>
      </c>
      <c r="G27" s="190">
        <v>3.0</v>
      </c>
      <c r="H27" s="190">
        <v>3.0</v>
      </c>
      <c r="I27" s="190">
        <v>5.0</v>
      </c>
      <c r="J27" s="190">
        <v>2.0</v>
      </c>
      <c r="K27" s="190">
        <v>3.0</v>
      </c>
      <c r="L27" s="190">
        <v>4.0</v>
      </c>
      <c r="M27" s="190">
        <v>4.0</v>
      </c>
      <c r="N27" s="190">
        <v>3.0</v>
      </c>
      <c r="O27" s="190">
        <v>1.0</v>
      </c>
      <c r="P27" s="190">
        <v>2.0</v>
      </c>
      <c r="Q27" s="190">
        <v>3.0</v>
      </c>
      <c r="R27" s="190">
        <v>4.0</v>
      </c>
      <c r="S27" s="190">
        <v>2.0</v>
      </c>
      <c r="T27" s="191">
        <f t="shared" si="1"/>
        <v>2.8</v>
      </c>
      <c r="U27" s="47"/>
      <c r="V27" s="47"/>
      <c r="W27" s="47"/>
      <c r="X27" s="47"/>
      <c r="Y27" s="47"/>
      <c r="Z27" s="47"/>
      <c r="AA27" s="47"/>
    </row>
    <row r="28">
      <c r="A28" s="189" t="s">
        <v>61</v>
      </c>
      <c r="B28" s="192">
        <v>3.0</v>
      </c>
      <c r="C28" s="192">
        <v>4.0</v>
      </c>
      <c r="D28" s="192">
        <v>4.0</v>
      </c>
      <c r="E28" s="192">
        <v>3.0</v>
      </c>
      <c r="F28" s="192">
        <v>1.0</v>
      </c>
      <c r="G28" s="190">
        <v>1.0</v>
      </c>
      <c r="H28" s="192">
        <v>2.0</v>
      </c>
      <c r="I28" s="192">
        <v>2.0</v>
      </c>
      <c r="J28" s="192">
        <v>4.0</v>
      </c>
      <c r="K28" s="192">
        <v>5.0</v>
      </c>
      <c r="L28" s="192">
        <v>2.0</v>
      </c>
      <c r="M28" s="192">
        <v>1.0</v>
      </c>
      <c r="N28" s="192">
        <v>1.0</v>
      </c>
      <c r="O28" s="192">
        <v>1.0</v>
      </c>
      <c r="P28" s="192">
        <v>3.0</v>
      </c>
      <c r="Q28" s="192">
        <v>4.0</v>
      </c>
      <c r="R28" s="192">
        <v>2.0</v>
      </c>
      <c r="S28" s="192">
        <v>4.0</v>
      </c>
      <c r="T28" s="191">
        <f t="shared" si="1"/>
        <v>2.7</v>
      </c>
      <c r="U28" s="47"/>
      <c r="V28" s="47"/>
      <c r="W28" s="47"/>
      <c r="X28" s="47"/>
      <c r="Y28" s="47"/>
      <c r="Z28" s="47"/>
      <c r="AA28" s="47"/>
    </row>
    <row r="29">
      <c r="A29" s="189" t="s">
        <v>70</v>
      </c>
      <c r="B29" s="190">
        <v>4.0</v>
      </c>
      <c r="C29" s="192">
        <v>4.0</v>
      </c>
      <c r="D29" s="192">
        <v>3.0</v>
      </c>
      <c r="E29" s="192">
        <v>5.0</v>
      </c>
      <c r="F29" s="192">
        <v>2.0</v>
      </c>
      <c r="G29" s="190">
        <v>5.0</v>
      </c>
      <c r="H29" s="192">
        <v>4.0</v>
      </c>
      <c r="I29" s="192">
        <v>1.0</v>
      </c>
      <c r="J29" s="192">
        <v>5.0</v>
      </c>
      <c r="K29" s="192">
        <v>4.0</v>
      </c>
      <c r="L29" s="192">
        <v>5.0</v>
      </c>
      <c r="M29" s="192">
        <v>1.0</v>
      </c>
      <c r="N29" s="192">
        <v>1.0</v>
      </c>
      <c r="O29" s="192">
        <v>3.0</v>
      </c>
      <c r="P29" s="192">
        <v>3.0</v>
      </c>
      <c r="Q29" s="192">
        <v>2.0</v>
      </c>
      <c r="R29" s="192">
        <v>2.0</v>
      </c>
      <c r="S29" s="192">
        <v>1.0</v>
      </c>
      <c r="T29" s="191">
        <f t="shared" si="1"/>
        <v>2.7</v>
      </c>
      <c r="U29" s="47"/>
      <c r="V29" s="47"/>
      <c r="W29" s="47"/>
      <c r="X29" s="47"/>
      <c r="Y29" s="47"/>
      <c r="Z29" s="47"/>
      <c r="AA29" s="47"/>
    </row>
    <row r="30">
      <c r="A30" s="189" t="s">
        <v>83</v>
      </c>
      <c r="B30" s="192">
        <v>4.0</v>
      </c>
      <c r="C30" s="192">
        <v>3.0</v>
      </c>
      <c r="D30" s="192">
        <v>3.0</v>
      </c>
      <c r="E30" s="192">
        <v>3.0</v>
      </c>
      <c r="F30" s="192">
        <v>2.0</v>
      </c>
      <c r="G30" s="190">
        <v>1.0</v>
      </c>
      <c r="H30" s="192">
        <v>4.0</v>
      </c>
      <c r="I30" s="192">
        <v>2.0</v>
      </c>
      <c r="J30" s="192">
        <v>1.0</v>
      </c>
      <c r="K30" s="192">
        <v>1.0</v>
      </c>
      <c r="L30" s="190">
        <v>4.0</v>
      </c>
      <c r="M30" s="192">
        <v>3.0</v>
      </c>
      <c r="N30" s="192">
        <v>4.0</v>
      </c>
      <c r="O30" s="192">
        <v>2.0</v>
      </c>
      <c r="P30" s="192">
        <v>2.0</v>
      </c>
      <c r="Q30" s="192">
        <v>3.0</v>
      </c>
      <c r="R30" s="192">
        <v>2.0</v>
      </c>
      <c r="S30" s="192">
        <v>4.0</v>
      </c>
      <c r="T30" s="191">
        <f t="shared" si="1"/>
        <v>2.6</v>
      </c>
      <c r="U30" s="47"/>
      <c r="V30" s="47"/>
      <c r="W30" s="47"/>
      <c r="X30" s="47"/>
      <c r="Y30" s="47"/>
      <c r="Z30" s="47"/>
      <c r="AA30" s="47"/>
    </row>
    <row r="31">
      <c r="A31" s="189" t="s">
        <v>74</v>
      </c>
      <c r="B31" s="192">
        <v>4.0</v>
      </c>
      <c r="C31" s="192">
        <v>4.0</v>
      </c>
      <c r="D31" s="192">
        <v>3.0</v>
      </c>
      <c r="E31" s="192">
        <v>3.0</v>
      </c>
      <c r="F31" s="190">
        <v>2.0</v>
      </c>
      <c r="G31" s="190">
        <v>3.0</v>
      </c>
      <c r="H31" s="192">
        <v>3.0</v>
      </c>
      <c r="I31" s="192">
        <v>1.0</v>
      </c>
      <c r="J31" s="192">
        <v>3.0</v>
      </c>
      <c r="K31" s="192">
        <v>4.0</v>
      </c>
      <c r="L31" s="192">
        <v>2.0</v>
      </c>
      <c r="M31" s="192">
        <v>1.0</v>
      </c>
      <c r="N31" s="192">
        <v>4.0</v>
      </c>
      <c r="O31" s="192">
        <v>1.0</v>
      </c>
      <c r="P31" s="192">
        <v>1.0</v>
      </c>
      <c r="Q31" s="192">
        <v>4.0</v>
      </c>
      <c r="R31" s="192">
        <v>1.0</v>
      </c>
      <c r="S31" s="192">
        <v>5.0</v>
      </c>
      <c r="T31" s="191">
        <f t="shared" si="1"/>
        <v>2.6</v>
      </c>
      <c r="U31" s="47"/>
      <c r="V31" s="47"/>
      <c r="W31" s="47"/>
      <c r="X31" s="47"/>
      <c r="Y31" s="47"/>
      <c r="Z31" s="47"/>
      <c r="AA31" s="47"/>
    </row>
    <row r="32">
      <c r="A32" s="189" t="s">
        <v>101</v>
      </c>
      <c r="B32" s="190">
        <v>4.0</v>
      </c>
      <c r="C32" s="190">
        <v>3.0</v>
      </c>
      <c r="D32" s="190">
        <v>4.0</v>
      </c>
      <c r="E32" s="190">
        <v>4.0</v>
      </c>
      <c r="F32" s="190">
        <v>1.0</v>
      </c>
      <c r="G32" s="190">
        <v>1.0</v>
      </c>
      <c r="H32" s="190">
        <v>3.0</v>
      </c>
      <c r="I32" s="190">
        <v>2.0</v>
      </c>
      <c r="J32" s="190">
        <v>3.0</v>
      </c>
      <c r="K32" s="190">
        <v>4.0</v>
      </c>
      <c r="L32" s="190">
        <v>3.0</v>
      </c>
      <c r="M32" s="190">
        <v>1.0</v>
      </c>
      <c r="N32" s="190">
        <v>2.0</v>
      </c>
      <c r="O32" s="190">
        <v>1.0</v>
      </c>
      <c r="P32" s="190">
        <v>2.0</v>
      </c>
      <c r="Q32" s="190">
        <v>4.0</v>
      </c>
      <c r="R32" s="190">
        <v>1.0</v>
      </c>
      <c r="S32" s="190">
        <v>5.0</v>
      </c>
      <c r="T32" s="191">
        <f t="shared" si="1"/>
        <v>2.6</v>
      </c>
      <c r="U32" s="47"/>
      <c r="V32" s="47"/>
      <c r="W32" s="47"/>
      <c r="X32" s="47"/>
      <c r="Y32" s="47"/>
      <c r="Z32" s="47"/>
      <c r="AA32" s="47"/>
    </row>
    <row r="33">
      <c r="A33" s="189" t="s">
        <v>64</v>
      </c>
      <c r="B33" s="192">
        <v>4.0</v>
      </c>
      <c r="C33" s="192">
        <v>3.0</v>
      </c>
      <c r="D33" s="192">
        <v>1.0</v>
      </c>
      <c r="E33" s="192">
        <v>4.0</v>
      </c>
      <c r="F33" s="192">
        <v>4.0</v>
      </c>
      <c r="G33" s="190">
        <v>2.0</v>
      </c>
      <c r="H33" s="192">
        <v>2.0</v>
      </c>
      <c r="I33" s="192">
        <v>5.0</v>
      </c>
      <c r="J33" s="192">
        <v>2.0</v>
      </c>
      <c r="K33" s="192">
        <v>3.0</v>
      </c>
      <c r="L33" s="190">
        <v>3.0</v>
      </c>
      <c r="M33" s="192">
        <v>2.0</v>
      </c>
      <c r="N33" s="192">
        <v>3.0</v>
      </c>
      <c r="O33" s="192">
        <v>2.0</v>
      </c>
      <c r="P33" s="192">
        <v>2.0</v>
      </c>
      <c r="Q33" s="190">
        <v>3.0</v>
      </c>
      <c r="R33" s="192">
        <v>1.0</v>
      </c>
      <c r="S33" s="192">
        <v>3.0</v>
      </c>
      <c r="T33" s="191">
        <f t="shared" si="1"/>
        <v>2.4</v>
      </c>
      <c r="U33" s="47"/>
      <c r="V33" s="47"/>
      <c r="W33" s="47"/>
      <c r="X33" s="47"/>
      <c r="Y33" s="47"/>
      <c r="Z33" s="47"/>
      <c r="AA33" s="47"/>
    </row>
    <row r="34">
      <c r="A34" s="189" t="s">
        <v>62</v>
      </c>
      <c r="B34" s="192">
        <v>5.0</v>
      </c>
      <c r="C34" s="192">
        <v>3.0</v>
      </c>
      <c r="D34" s="192">
        <v>2.0</v>
      </c>
      <c r="E34" s="192">
        <v>4.0</v>
      </c>
      <c r="F34" s="190">
        <v>3.0</v>
      </c>
      <c r="G34" s="190">
        <v>4.0</v>
      </c>
      <c r="H34" s="192">
        <v>4.0</v>
      </c>
      <c r="I34" s="192">
        <v>4.0</v>
      </c>
      <c r="J34" s="192">
        <v>4.0</v>
      </c>
      <c r="K34" s="192">
        <v>4.0</v>
      </c>
      <c r="L34" s="192">
        <v>3.0</v>
      </c>
      <c r="M34" s="192">
        <v>1.0</v>
      </c>
      <c r="N34" s="192">
        <v>2.0</v>
      </c>
      <c r="O34" s="192">
        <v>3.0</v>
      </c>
      <c r="P34" s="192">
        <v>2.0</v>
      </c>
      <c r="Q34" s="192">
        <v>1.0</v>
      </c>
      <c r="R34" s="192">
        <v>1.0</v>
      </c>
      <c r="S34" s="192">
        <v>1.0</v>
      </c>
      <c r="T34" s="191">
        <f t="shared" si="1"/>
        <v>2.2</v>
      </c>
      <c r="U34" s="47"/>
      <c r="V34" s="47"/>
      <c r="W34" s="47"/>
      <c r="X34" s="47"/>
      <c r="Y34" s="47"/>
      <c r="Z34" s="47"/>
      <c r="AA34" s="47"/>
    </row>
    <row r="35">
      <c r="A35" s="189" t="s">
        <v>82</v>
      </c>
      <c r="B35" s="192">
        <v>5.0</v>
      </c>
      <c r="C35" s="192">
        <v>3.0</v>
      </c>
      <c r="D35" s="192">
        <v>4.0</v>
      </c>
      <c r="E35" s="192">
        <v>3.0</v>
      </c>
      <c r="F35" s="192">
        <v>2.0</v>
      </c>
      <c r="G35" s="190">
        <v>3.0</v>
      </c>
      <c r="H35" s="190">
        <v>5.0</v>
      </c>
      <c r="I35" s="192">
        <v>1.0</v>
      </c>
      <c r="J35" s="192">
        <v>1.0</v>
      </c>
      <c r="K35" s="192">
        <v>1.0</v>
      </c>
      <c r="L35" s="192">
        <v>5.0</v>
      </c>
      <c r="M35" s="192">
        <v>1.0</v>
      </c>
      <c r="N35" s="192">
        <v>1.0</v>
      </c>
      <c r="O35" s="192">
        <v>5.0</v>
      </c>
      <c r="P35" s="192">
        <v>3.0</v>
      </c>
      <c r="Q35" s="192">
        <v>1.0</v>
      </c>
      <c r="R35" s="192">
        <v>2.0</v>
      </c>
      <c r="S35" s="192">
        <v>1.0</v>
      </c>
      <c r="T35" s="191">
        <f t="shared" si="1"/>
        <v>2.1</v>
      </c>
      <c r="U35" s="47"/>
      <c r="V35" s="47"/>
      <c r="W35" s="47"/>
      <c r="X35" s="47"/>
      <c r="Y35" s="47"/>
      <c r="Z35" s="47"/>
      <c r="AA35" s="47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47"/>
      <c r="T36" s="47"/>
      <c r="U36" s="47"/>
      <c r="V36" s="47"/>
      <c r="W36" s="47"/>
      <c r="X36" s="47"/>
      <c r="Y36" s="47"/>
      <c r="Z36" s="47"/>
      <c r="AA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</row>
  </sheetData>
  <mergeCells count="1">
    <mergeCell ref="B1:T1"/>
  </mergeCells>
  <conditionalFormatting sqref="A4:S35">
    <cfRule type="colorScale" priority="1">
      <colorScale>
        <cfvo type="formula" val="1"/>
        <cfvo type="formula" val="3"/>
        <cfvo type="formula" val="5"/>
        <color rgb="FF660000"/>
        <color rgb="FFBF9000"/>
        <color rgb="FF38761D"/>
      </colorScale>
    </cfRule>
  </conditionalFormatting>
  <conditionalFormatting sqref="T4:T35">
    <cfRule type="colorScale" priority="2">
      <colorScale>
        <cfvo type="min"/>
        <cfvo type="percentile" val="50"/>
        <cfvo type="max"/>
        <color rgb="FF5B0F00"/>
        <color rgb="FFBF9000"/>
        <color rgb="FF38761D"/>
      </colorScale>
    </cfRule>
  </conditionalFormatting>
  <dataValidations>
    <dataValidation type="custom" allowBlank="1" showDropDown="1" sqref="B4:F35 H4:S3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/>
      <c r="B1" s="193" t="s">
        <v>223</v>
      </c>
      <c r="C1" s="56"/>
      <c r="D1" s="56"/>
      <c r="E1" s="56"/>
      <c r="F1" s="56"/>
      <c r="G1" s="193" t="s">
        <v>223</v>
      </c>
      <c r="H1" s="56"/>
      <c r="I1" s="56"/>
      <c r="J1" s="56"/>
      <c r="K1" s="56"/>
      <c r="L1" s="193" t="s">
        <v>223</v>
      </c>
      <c r="M1" s="56"/>
      <c r="N1" s="56"/>
      <c r="O1" s="56"/>
      <c r="P1" s="56"/>
      <c r="Q1" s="193" t="s">
        <v>223</v>
      </c>
      <c r="R1" s="56"/>
      <c r="S1" s="56"/>
      <c r="T1" s="56"/>
      <c r="U1" s="56"/>
      <c r="V1" s="56"/>
      <c r="W1" s="56"/>
      <c r="X1" s="56"/>
      <c r="Y1" s="56"/>
      <c r="Z1" s="56"/>
    </row>
    <row r="2">
      <c r="A2" s="40"/>
      <c r="B2" s="194" t="s">
        <v>224</v>
      </c>
      <c r="C2" s="56"/>
      <c r="D2" s="56"/>
      <c r="E2" s="56"/>
      <c r="F2" s="40"/>
      <c r="G2" s="194" t="s">
        <v>225</v>
      </c>
      <c r="H2" s="40" t="s">
        <v>226</v>
      </c>
      <c r="I2" s="56"/>
      <c r="J2" s="56"/>
      <c r="K2" s="40"/>
      <c r="L2" s="194" t="s">
        <v>225</v>
      </c>
      <c r="M2" s="40" t="s">
        <v>227</v>
      </c>
      <c r="N2" s="56"/>
      <c r="O2" s="56"/>
      <c r="P2" s="40"/>
      <c r="Q2" s="194" t="s">
        <v>228</v>
      </c>
      <c r="R2" s="40"/>
      <c r="S2" s="56"/>
      <c r="T2" s="56"/>
      <c r="U2" s="56"/>
      <c r="V2" s="56"/>
      <c r="W2" s="56"/>
      <c r="X2" s="56"/>
      <c r="Y2" s="56"/>
      <c r="Z2" s="56"/>
    </row>
    <row r="3">
      <c r="A3" s="40" t="s">
        <v>229</v>
      </c>
      <c r="B3" s="195">
        <v>150.0</v>
      </c>
      <c r="C3" s="40" t="s">
        <v>230</v>
      </c>
      <c r="D3" s="195">
        <v>4.0</v>
      </c>
      <c r="E3" s="56"/>
      <c r="F3" s="40" t="s">
        <v>229</v>
      </c>
      <c r="G3" s="195">
        <v>75.0</v>
      </c>
      <c r="H3" s="40" t="s">
        <v>230</v>
      </c>
      <c r="I3" s="195">
        <v>4.0</v>
      </c>
      <c r="J3" s="56"/>
      <c r="K3" s="40" t="s">
        <v>229</v>
      </c>
      <c r="L3" s="195">
        <v>4.0</v>
      </c>
      <c r="M3" s="40" t="s">
        <v>230</v>
      </c>
      <c r="N3" s="195">
        <v>0.06</v>
      </c>
      <c r="O3" s="56"/>
      <c r="P3" s="40" t="s">
        <v>229</v>
      </c>
      <c r="Q3" s="195">
        <v>85.0</v>
      </c>
      <c r="R3" s="40" t="s">
        <v>230</v>
      </c>
      <c r="S3" s="195">
        <v>6.0</v>
      </c>
      <c r="T3" s="56"/>
      <c r="U3" s="56"/>
      <c r="V3" s="56"/>
      <c r="W3" s="56"/>
      <c r="X3" s="56"/>
      <c r="Y3" s="56"/>
      <c r="Z3" s="56"/>
    </row>
    <row r="4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40" t="s">
        <v>231</v>
      </c>
      <c r="B5" s="40" t="s">
        <v>232</v>
      </c>
      <c r="C5" s="56"/>
      <c r="D5" s="56"/>
      <c r="E5" s="56"/>
      <c r="F5" s="40" t="s">
        <v>231</v>
      </c>
      <c r="G5" s="40" t="s">
        <v>232</v>
      </c>
      <c r="H5" s="56"/>
      <c r="I5" s="56"/>
      <c r="J5" s="56"/>
      <c r="K5" s="40" t="s">
        <v>231</v>
      </c>
      <c r="L5" s="40" t="s">
        <v>232</v>
      </c>
      <c r="M5" s="56"/>
      <c r="N5" s="56"/>
      <c r="O5" s="56"/>
      <c r="P5" s="40" t="s">
        <v>231</v>
      </c>
      <c r="Q5" s="40" t="s">
        <v>232</v>
      </c>
      <c r="R5" s="56"/>
      <c r="S5" s="56"/>
      <c r="T5" s="56"/>
      <c r="U5" s="56"/>
      <c r="V5" s="56"/>
      <c r="W5" s="56"/>
      <c r="X5" s="56"/>
      <c r="Y5" s="56"/>
      <c r="Z5" s="56"/>
    </row>
    <row r="6">
      <c r="A6" s="193">
        <v>1.0</v>
      </c>
      <c r="B6" s="196">
        <f t="shared" ref="B6:B37" si="1">$B$3+$D$3*A6</f>
        <v>154</v>
      </c>
      <c r="C6" s="196"/>
      <c r="D6" s="196"/>
      <c r="E6" s="196"/>
      <c r="F6" s="193">
        <v>1.0</v>
      </c>
      <c r="G6" s="196">
        <f t="shared" ref="G6:G37" si="2">$G$3+$I$3*F6</f>
        <v>79</v>
      </c>
      <c r="H6" s="196"/>
      <c r="I6" s="196"/>
      <c r="J6" s="196"/>
      <c r="K6" s="193">
        <v>1.0</v>
      </c>
      <c r="L6" s="196">
        <f t="shared" ref="L6:L37" si="3">$L$3+$N$3*K6</f>
        <v>4.06</v>
      </c>
      <c r="M6" s="196"/>
      <c r="N6" s="196"/>
      <c r="O6" s="56"/>
      <c r="P6" s="193">
        <v>1.0</v>
      </c>
      <c r="Q6" s="196">
        <f t="shared" ref="Q6:Q37" si="4">$Q$3+$S$3*P6</f>
        <v>91</v>
      </c>
      <c r="R6" s="196"/>
      <c r="S6" s="196"/>
      <c r="T6" s="56"/>
      <c r="U6" s="56"/>
      <c r="V6" s="56"/>
      <c r="W6" s="56"/>
      <c r="X6" s="56"/>
      <c r="Y6" s="56"/>
      <c r="Z6" s="56"/>
    </row>
    <row r="7">
      <c r="A7" s="193">
        <v>2.0</v>
      </c>
      <c r="B7" s="196">
        <f t="shared" si="1"/>
        <v>158</v>
      </c>
      <c r="C7" s="196"/>
      <c r="D7" s="196"/>
      <c r="E7" s="196"/>
      <c r="F7" s="193">
        <v>2.0</v>
      </c>
      <c r="G7" s="196">
        <f t="shared" si="2"/>
        <v>83</v>
      </c>
      <c r="H7" s="196"/>
      <c r="I7" s="196"/>
      <c r="J7" s="196"/>
      <c r="K7" s="193">
        <v>2.0</v>
      </c>
      <c r="L7" s="196">
        <f t="shared" si="3"/>
        <v>4.12</v>
      </c>
      <c r="M7" s="196"/>
      <c r="N7" s="196"/>
      <c r="O7" s="56"/>
      <c r="P7" s="193">
        <v>2.0</v>
      </c>
      <c r="Q7" s="196">
        <f t="shared" si="4"/>
        <v>97</v>
      </c>
      <c r="R7" s="196"/>
      <c r="S7" s="196"/>
      <c r="T7" s="56"/>
      <c r="U7" s="56"/>
      <c r="V7" s="56"/>
      <c r="W7" s="56"/>
      <c r="X7" s="56"/>
      <c r="Y7" s="56"/>
      <c r="Z7" s="56"/>
    </row>
    <row r="8">
      <c r="A8" s="193">
        <v>3.0</v>
      </c>
      <c r="B8" s="196">
        <f t="shared" si="1"/>
        <v>162</v>
      </c>
      <c r="C8" s="196"/>
      <c r="D8" s="196"/>
      <c r="E8" s="196"/>
      <c r="F8" s="193">
        <v>3.0</v>
      </c>
      <c r="G8" s="196">
        <f t="shared" si="2"/>
        <v>87</v>
      </c>
      <c r="H8" s="196"/>
      <c r="I8" s="196"/>
      <c r="J8" s="196"/>
      <c r="K8" s="193">
        <v>3.0</v>
      </c>
      <c r="L8" s="196">
        <f t="shared" si="3"/>
        <v>4.18</v>
      </c>
      <c r="M8" s="196"/>
      <c r="N8" s="196"/>
      <c r="O8" s="56"/>
      <c r="P8" s="193">
        <v>3.0</v>
      </c>
      <c r="Q8" s="196">
        <f t="shared" si="4"/>
        <v>103</v>
      </c>
      <c r="R8" s="196"/>
      <c r="S8" s="196"/>
      <c r="T8" s="56"/>
      <c r="U8" s="56"/>
      <c r="V8" s="56"/>
      <c r="W8" s="56"/>
      <c r="X8" s="56"/>
      <c r="Y8" s="56"/>
      <c r="Z8" s="56"/>
    </row>
    <row r="9">
      <c r="A9" s="193">
        <v>4.0</v>
      </c>
      <c r="B9" s="196">
        <f t="shared" si="1"/>
        <v>166</v>
      </c>
      <c r="C9" s="196"/>
      <c r="D9" s="196"/>
      <c r="E9" s="196"/>
      <c r="F9" s="193">
        <v>4.0</v>
      </c>
      <c r="G9" s="196">
        <f t="shared" si="2"/>
        <v>91</v>
      </c>
      <c r="H9" s="196"/>
      <c r="I9" s="196"/>
      <c r="J9" s="196"/>
      <c r="K9" s="193">
        <v>4.0</v>
      </c>
      <c r="L9" s="196">
        <f t="shared" si="3"/>
        <v>4.24</v>
      </c>
      <c r="M9" s="196"/>
      <c r="N9" s="196"/>
      <c r="O9" s="56"/>
      <c r="P9" s="193">
        <v>4.0</v>
      </c>
      <c r="Q9" s="196">
        <f t="shared" si="4"/>
        <v>109</v>
      </c>
      <c r="R9" s="196"/>
      <c r="S9" s="196"/>
      <c r="T9" s="56"/>
      <c r="U9" s="56"/>
      <c r="V9" s="56"/>
      <c r="W9" s="56"/>
      <c r="X9" s="56"/>
      <c r="Y9" s="56"/>
      <c r="Z9" s="56"/>
    </row>
    <row r="10">
      <c r="A10" s="193">
        <v>5.0</v>
      </c>
      <c r="B10" s="196">
        <f t="shared" si="1"/>
        <v>170</v>
      </c>
      <c r="C10" s="196"/>
      <c r="D10" s="196"/>
      <c r="E10" s="196"/>
      <c r="F10" s="193">
        <v>5.0</v>
      </c>
      <c r="G10" s="196">
        <f t="shared" si="2"/>
        <v>95</v>
      </c>
      <c r="H10" s="196"/>
      <c r="I10" s="196"/>
      <c r="J10" s="196"/>
      <c r="K10" s="193">
        <v>5.0</v>
      </c>
      <c r="L10" s="196">
        <f t="shared" si="3"/>
        <v>4.3</v>
      </c>
      <c r="M10" s="196"/>
      <c r="N10" s="196"/>
      <c r="O10" s="56"/>
      <c r="P10" s="193">
        <v>5.0</v>
      </c>
      <c r="Q10" s="196">
        <f t="shared" si="4"/>
        <v>115</v>
      </c>
      <c r="R10" s="196"/>
      <c r="S10" s="196"/>
      <c r="T10" s="56"/>
      <c r="U10" s="56"/>
      <c r="V10" s="56"/>
      <c r="W10" s="56"/>
      <c r="X10" s="56"/>
      <c r="Y10" s="56"/>
      <c r="Z10" s="56"/>
    </row>
    <row r="11">
      <c r="A11" s="193">
        <v>6.0</v>
      </c>
      <c r="B11" s="196">
        <f t="shared" si="1"/>
        <v>174</v>
      </c>
      <c r="C11" s="196"/>
      <c r="D11" s="196"/>
      <c r="E11" s="196"/>
      <c r="F11" s="193">
        <v>6.0</v>
      </c>
      <c r="G11" s="196">
        <f t="shared" si="2"/>
        <v>99</v>
      </c>
      <c r="H11" s="196"/>
      <c r="I11" s="196"/>
      <c r="J11" s="196"/>
      <c r="K11" s="193">
        <v>6.0</v>
      </c>
      <c r="L11" s="196">
        <f t="shared" si="3"/>
        <v>4.36</v>
      </c>
      <c r="M11" s="196"/>
      <c r="N11" s="196"/>
      <c r="O11" s="56"/>
      <c r="P11" s="193">
        <v>6.0</v>
      </c>
      <c r="Q11" s="196">
        <f t="shared" si="4"/>
        <v>121</v>
      </c>
      <c r="R11" s="196"/>
      <c r="S11" s="196"/>
      <c r="T11" s="56"/>
      <c r="U11" s="56"/>
      <c r="V11" s="56"/>
      <c r="W11" s="56"/>
      <c r="X11" s="56"/>
      <c r="Y11" s="56"/>
      <c r="Z11" s="56"/>
    </row>
    <row r="12">
      <c r="A12" s="193">
        <v>7.0</v>
      </c>
      <c r="B12" s="196">
        <f t="shared" si="1"/>
        <v>178</v>
      </c>
      <c r="C12" s="196"/>
      <c r="D12" s="196"/>
      <c r="E12" s="196"/>
      <c r="F12" s="193">
        <v>7.0</v>
      </c>
      <c r="G12" s="196">
        <f t="shared" si="2"/>
        <v>103</v>
      </c>
      <c r="H12" s="196"/>
      <c r="I12" s="196"/>
      <c r="J12" s="196"/>
      <c r="K12" s="193">
        <v>7.0</v>
      </c>
      <c r="L12" s="196">
        <f t="shared" si="3"/>
        <v>4.42</v>
      </c>
      <c r="M12" s="196"/>
      <c r="N12" s="196"/>
      <c r="O12" s="56"/>
      <c r="P12" s="193">
        <v>7.0</v>
      </c>
      <c r="Q12" s="196">
        <f t="shared" si="4"/>
        <v>127</v>
      </c>
      <c r="R12" s="196"/>
      <c r="S12" s="196"/>
      <c r="T12" s="56"/>
      <c r="U12" s="56"/>
      <c r="V12" s="56"/>
      <c r="W12" s="56"/>
      <c r="X12" s="56"/>
      <c r="Y12" s="56"/>
      <c r="Z12" s="56"/>
    </row>
    <row r="13">
      <c r="A13" s="193">
        <v>8.0</v>
      </c>
      <c r="B13" s="196">
        <f t="shared" si="1"/>
        <v>182</v>
      </c>
      <c r="C13" s="196"/>
      <c r="D13" s="196"/>
      <c r="E13" s="196"/>
      <c r="F13" s="193">
        <v>8.0</v>
      </c>
      <c r="G13" s="196">
        <f t="shared" si="2"/>
        <v>107</v>
      </c>
      <c r="H13" s="196"/>
      <c r="I13" s="196"/>
      <c r="J13" s="196"/>
      <c r="K13" s="193">
        <v>8.0</v>
      </c>
      <c r="L13" s="196">
        <f t="shared" si="3"/>
        <v>4.48</v>
      </c>
      <c r="M13" s="196"/>
      <c r="N13" s="196"/>
      <c r="O13" s="56"/>
      <c r="P13" s="193">
        <v>8.0</v>
      </c>
      <c r="Q13" s="196">
        <f t="shared" si="4"/>
        <v>133</v>
      </c>
      <c r="R13" s="196"/>
      <c r="S13" s="196"/>
      <c r="T13" s="56"/>
      <c r="U13" s="56"/>
      <c r="V13" s="56"/>
      <c r="W13" s="56"/>
      <c r="X13" s="56"/>
      <c r="Y13" s="56"/>
      <c r="Z13" s="56"/>
    </row>
    <row r="14">
      <c r="A14" s="193">
        <v>9.0</v>
      </c>
      <c r="B14" s="196">
        <f t="shared" si="1"/>
        <v>186</v>
      </c>
      <c r="C14" s="196"/>
      <c r="D14" s="196"/>
      <c r="E14" s="196"/>
      <c r="F14" s="193">
        <v>9.0</v>
      </c>
      <c r="G14" s="196">
        <f t="shared" si="2"/>
        <v>111</v>
      </c>
      <c r="H14" s="196"/>
      <c r="I14" s="196"/>
      <c r="J14" s="196"/>
      <c r="K14" s="193">
        <v>9.0</v>
      </c>
      <c r="L14" s="196">
        <f t="shared" si="3"/>
        <v>4.54</v>
      </c>
      <c r="M14" s="196"/>
      <c r="N14" s="196"/>
      <c r="O14" s="56"/>
      <c r="P14" s="193">
        <v>9.0</v>
      </c>
      <c r="Q14" s="196">
        <f t="shared" si="4"/>
        <v>139</v>
      </c>
      <c r="R14" s="196"/>
      <c r="S14" s="196"/>
      <c r="T14" s="56"/>
      <c r="U14" s="56"/>
      <c r="V14" s="56"/>
      <c r="W14" s="56"/>
      <c r="X14" s="56"/>
      <c r="Y14" s="56"/>
      <c r="Z14" s="56"/>
    </row>
    <row r="15">
      <c r="A15" s="193">
        <v>10.0</v>
      </c>
      <c r="B15" s="196">
        <f t="shared" si="1"/>
        <v>190</v>
      </c>
      <c r="C15" s="196"/>
      <c r="D15" s="196"/>
      <c r="E15" s="196"/>
      <c r="F15" s="193">
        <v>10.0</v>
      </c>
      <c r="G15" s="196">
        <f t="shared" si="2"/>
        <v>115</v>
      </c>
      <c r="H15" s="196"/>
      <c r="I15" s="196"/>
      <c r="J15" s="196"/>
      <c r="K15" s="193">
        <v>10.0</v>
      </c>
      <c r="L15" s="196">
        <f t="shared" si="3"/>
        <v>4.6</v>
      </c>
      <c r="M15" s="196"/>
      <c r="N15" s="196"/>
      <c r="O15" s="56"/>
      <c r="P15" s="193">
        <v>10.0</v>
      </c>
      <c r="Q15" s="196">
        <f t="shared" si="4"/>
        <v>145</v>
      </c>
      <c r="R15" s="196"/>
      <c r="S15" s="196"/>
      <c r="T15" s="56"/>
      <c r="U15" s="56"/>
      <c r="V15" s="56"/>
      <c r="W15" s="56"/>
      <c r="X15" s="56"/>
      <c r="Y15" s="56"/>
      <c r="Z15" s="56"/>
    </row>
    <row r="16">
      <c r="A16" s="193">
        <v>11.0</v>
      </c>
      <c r="B16" s="196">
        <f t="shared" si="1"/>
        <v>194</v>
      </c>
      <c r="C16" s="196"/>
      <c r="D16" s="196"/>
      <c r="E16" s="196"/>
      <c r="F16" s="193">
        <v>11.0</v>
      </c>
      <c r="G16" s="196">
        <f t="shared" si="2"/>
        <v>119</v>
      </c>
      <c r="H16" s="196"/>
      <c r="I16" s="196"/>
      <c r="J16" s="196"/>
      <c r="K16" s="193">
        <v>11.0</v>
      </c>
      <c r="L16" s="196">
        <f t="shared" si="3"/>
        <v>4.66</v>
      </c>
      <c r="M16" s="196"/>
      <c r="N16" s="196"/>
      <c r="O16" s="56"/>
      <c r="P16" s="193">
        <v>11.0</v>
      </c>
      <c r="Q16" s="196">
        <f t="shared" si="4"/>
        <v>151</v>
      </c>
      <c r="R16" s="196"/>
      <c r="S16" s="196"/>
      <c r="T16" s="56"/>
      <c r="U16" s="56"/>
      <c r="V16" s="56"/>
      <c r="W16" s="56"/>
      <c r="X16" s="56"/>
      <c r="Y16" s="56"/>
      <c r="Z16" s="56"/>
    </row>
    <row r="17">
      <c r="A17" s="193">
        <v>12.0</v>
      </c>
      <c r="B17" s="196">
        <f t="shared" si="1"/>
        <v>198</v>
      </c>
      <c r="C17" s="196"/>
      <c r="D17" s="196"/>
      <c r="E17" s="196"/>
      <c r="F17" s="193">
        <v>12.0</v>
      </c>
      <c r="G17" s="196">
        <f t="shared" si="2"/>
        <v>123</v>
      </c>
      <c r="H17" s="196"/>
      <c r="I17" s="196"/>
      <c r="J17" s="196"/>
      <c r="K17" s="193">
        <v>12.0</v>
      </c>
      <c r="L17" s="196">
        <f t="shared" si="3"/>
        <v>4.72</v>
      </c>
      <c r="M17" s="196"/>
      <c r="N17" s="196"/>
      <c r="O17" s="56"/>
      <c r="P17" s="193">
        <v>12.0</v>
      </c>
      <c r="Q17" s="196">
        <f t="shared" si="4"/>
        <v>157</v>
      </c>
      <c r="R17" s="196"/>
      <c r="S17" s="196"/>
      <c r="T17" s="56"/>
      <c r="U17" s="56"/>
      <c r="V17" s="56"/>
      <c r="W17" s="56"/>
      <c r="X17" s="56"/>
      <c r="Y17" s="56"/>
      <c r="Z17" s="56"/>
    </row>
    <row r="18">
      <c r="A18" s="193">
        <v>13.0</v>
      </c>
      <c r="B18" s="196">
        <f t="shared" si="1"/>
        <v>202</v>
      </c>
      <c r="C18" s="196"/>
      <c r="D18" s="196"/>
      <c r="E18" s="196"/>
      <c r="F18" s="193">
        <v>13.0</v>
      </c>
      <c r="G18" s="196">
        <f t="shared" si="2"/>
        <v>127</v>
      </c>
      <c r="H18" s="196"/>
      <c r="I18" s="196"/>
      <c r="J18" s="196"/>
      <c r="K18" s="193">
        <v>13.0</v>
      </c>
      <c r="L18" s="196">
        <f t="shared" si="3"/>
        <v>4.78</v>
      </c>
      <c r="M18" s="196"/>
      <c r="N18" s="196"/>
      <c r="O18" s="56"/>
      <c r="P18" s="193">
        <v>13.0</v>
      </c>
      <c r="Q18" s="196">
        <f t="shared" si="4"/>
        <v>163</v>
      </c>
      <c r="R18" s="196"/>
      <c r="S18" s="196"/>
      <c r="T18" s="56"/>
      <c r="U18" s="56"/>
      <c r="V18" s="56"/>
      <c r="W18" s="56"/>
      <c r="X18" s="56"/>
      <c r="Y18" s="56"/>
      <c r="Z18" s="56"/>
    </row>
    <row r="19">
      <c r="A19" s="193">
        <v>14.0</v>
      </c>
      <c r="B19" s="196">
        <f t="shared" si="1"/>
        <v>206</v>
      </c>
      <c r="C19" s="196"/>
      <c r="D19" s="196"/>
      <c r="E19" s="196"/>
      <c r="F19" s="193">
        <v>14.0</v>
      </c>
      <c r="G19" s="196">
        <f t="shared" si="2"/>
        <v>131</v>
      </c>
      <c r="H19" s="196"/>
      <c r="I19" s="196"/>
      <c r="J19" s="196"/>
      <c r="K19" s="193">
        <v>14.0</v>
      </c>
      <c r="L19" s="196">
        <f t="shared" si="3"/>
        <v>4.84</v>
      </c>
      <c r="M19" s="196"/>
      <c r="N19" s="196"/>
      <c r="O19" s="56"/>
      <c r="P19" s="193">
        <v>14.0</v>
      </c>
      <c r="Q19" s="196">
        <f t="shared" si="4"/>
        <v>169</v>
      </c>
      <c r="R19" s="196"/>
      <c r="S19" s="196"/>
      <c r="T19" s="56"/>
      <c r="U19" s="56"/>
      <c r="V19" s="56"/>
      <c r="W19" s="56"/>
      <c r="X19" s="56"/>
      <c r="Y19" s="56"/>
      <c r="Z19" s="56"/>
    </row>
    <row r="20">
      <c r="A20" s="193">
        <v>15.0</v>
      </c>
      <c r="B20" s="196">
        <f t="shared" si="1"/>
        <v>210</v>
      </c>
      <c r="C20" s="196"/>
      <c r="D20" s="196"/>
      <c r="E20" s="196"/>
      <c r="F20" s="193">
        <v>15.0</v>
      </c>
      <c r="G20" s="196">
        <f t="shared" si="2"/>
        <v>135</v>
      </c>
      <c r="H20" s="196"/>
      <c r="I20" s="196"/>
      <c r="J20" s="196"/>
      <c r="K20" s="193">
        <v>15.0</v>
      </c>
      <c r="L20" s="196">
        <f t="shared" si="3"/>
        <v>4.9</v>
      </c>
      <c r="M20" s="196"/>
      <c r="N20" s="196"/>
      <c r="O20" s="56"/>
      <c r="P20" s="193">
        <v>15.0</v>
      </c>
      <c r="Q20" s="196">
        <f t="shared" si="4"/>
        <v>175</v>
      </c>
      <c r="R20" s="196"/>
      <c r="S20" s="196"/>
      <c r="T20" s="56"/>
      <c r="U20" s="56"/>
      <c r="V20" s="56"/>
      <c r="W20" s="56"/>
      <c r="X20" s="56"/>
      <c r="Y20" s="56"/>
      <c r="Z20" s="56"/>
    </row>
    <row r="21">
      <c r="A21" s="193">
        <v>16.0</v>
      </c>
      <c r="B21" s="196">
        <f t="shared" si="1"/>
        <v>214</v>
      </c>
      <c r="C21" s="196"/>
      <c r="D21" s="196"/>
      <c r="E21" s="196"/>
      <c r="F21" s="193">
        <v>16.0</v>
      </c>
      <c r="G21" s="196">
        <f t="shared" si="2"/>
        <v>139</v>
      </c>
      <c r="H21" s="196"/>
      <c r="I21" s="196"/>
      <c r="J21" s="196"/>
      <c r="K21" s="193">
        <v>16.0</v>
      </c>
      <c r="L21" s="196">
        <f t="shared" si="3"/>
        <v>4.96</v>
      </c>
      <c r="M21" s="196"/>
      <c r="N21" s="196"/>
      <c r="O21" s="56"/>
      <c r="P21" s="193">
        <v>16.0</v>
      </c>
      <c r="Q21" s="196">
        <f t="shared" si="4"/>
        <v>181</v>
      </c>
      <c r="R21" s="196"/>
      <c r="S21" s="196"/>
      <c r="T21" s="56"/>
      <c r="U21" s="56"/>
      <c r="V21" s="56"/>
      <c r="W21" s="56"/>
      <c r="X21" s="56"/>
      <c r="Y21" s="56"/>
      <c r="Z21" s="56"/>
    </row>
    <row r="22">
      <c r="A22" s="193">
        <v>17.0</v>
      </c>
      <c r="B22" s="196">
        <f t="shared" si="1"/>
        <v>218</v>
      </c>
      <c r="C22" s="196"/>
      <c r="D22" s="196"/>
      <c r="E22" s="196"/>
      <c r="F22" s="193">
        <v>17.0</v>
      </c>
      <c r="G22" s="196">
        <f t="shared" si="2"/>
        <v>143</v>
      </c>
      <c r="H22" s="196"/>
      <c r="I22" s="196"/>
      <c r="J22" s="196"/>
      <c r="K22" s="193">
        <v>17.0</v>
      </c>
      <c r="L22" s="196">
        <f t="shared" si="3"/>
        <v>5.02</v>
      </c>
      <c r="M22" s="196"/>
      <c r="N22" s="196"/>
      <c r="O22" s="56"/>
      <c r="P22" s="193">
        <v>17.0</v>
      </c>
      <c r="Q22" s="196">
        <f t="shared" si="4"/>
        <v>187</v>
      </c>
      <c r="R22" s="196"/>
      <c r="S22" s="196"/>
      <c r="T22" s="56"/>
      <c r="U22" s="56"/>
      <c r="V22" s="56"/>
      <c r="W22" s="56"/>
      <c r="X22" s="56"/>
      <c r="Y22" s="56"/>
      <c r="Z22" s="56"/>
    </row>
    <row r="23">
      <c r="A23" s="193">
        <v>18.0</v>
      </c>
      <c r="B23" s="196">
        <f t="shared" si="1"/>
        <v>222</v>
      </c>
      <c r="C23" s="196"/>
      <c r="D23" s="196"/>
      <c r="E23" s="196"/>
      <c r="F23" s="193">
        <v>18.0</v>
      </c>
      <c r="G23" s="196">
        <f t="shared" si="2"/>
        <v>147</v>
      </c>
      <c r="H23" s="196"/>
      <c r="I23" s="196"/>
      <c r="J23" s="196"/>
      <c r="K23" s="193">
        <v>18.0</v>
      </c>
      <c r="L23" s="196">
        <f t="shared" si="3"/>
        <v>5.08</v>
      </c>
      <c r="M23" s="196"/>
      <c r="N23" s="196"/>
      <c r="O23" s="56"/>
      <c r="P23" s="193">
        <v>18.0</v>
      </c>
      <c r="Q23" s="196">
        <f t="shared" si="4"/>
        <v>193</v>
      </c>
      <c r="R23" s="196"/>
      <c r="S23" s="196"/>
      <c r="T23" s="56"/>
      <c r="U23" s="56"/>
      <c r="V23" s="56"/>
      <c r="W23" s="56"/>
      <c r="X23" s="56"/>
      <c r="Y23" s="56"/>
      <c r="Z23" s="56"/>
    </row>
    <row r="24">
      <c r="A24" s="193">
        <v>19.0</v>
      </c>
      <c r="B24" s="196">
        <f t="shared" si="1"/>
        <v>226</v>
      </c>
      <c r="C24" s="196"/>
      <c r="D24" s="196"/>
      <c r="E24" s="196"/>
      <c r="F24" s="193">
        <v>19.0</v>
      </c>
      <c r="G24" s="196">
        <f t="shared" si="2"/>
        <v>151</v>
      </c>
      <c r="H24" s="196"/>
      <c r="I24" s="196"/>
      <c r="J24" s="196"/>
      <c r="K24" s="193">
        <v>19.0</v>
      </c>
      <c r="L24" s="196">
        <f t="shared" si="3"/>
        <v>5.14</v>
      </c>
      <c r="M24" s="196"/>
      <c r="N24" s="196"/>
      <c r="O24" s="56"/>
      <c r="P24" s="193">
        <v>19.0</v>
      </c>
      <c r="Q24" s="196">
        <f t="shared" si="4"/>
        <v>199</v>
      </c>
      <c r="R24" s="196"/>
      <c r="S24" s="196"/>
      <c r="T24" s="56"/>
      <c r="U24" s="56"/>
      <c r="V24" s="56"/>
      <c r="W24" s="56"/>
      <c r="X24" s="56"/>
      <c r="Y24" s="56"/>
      <c r="Z24" s="56"/>
    </row>
    <row r="25">
      <c r="A25" s="193">
        <v>20.0</v>
      </c>
      <c r="B25" s="196">
        <f t="shared" si="1"/>
        <v>230</v>
      </c>
      <c r="C25" s="196"/>
      <c r="D25" s="196"/>
      <c r="E25" s="196"/>
      <c r="F25" s="193">
        <v>20.0</v>
      </c>
      <c r="G25" s="196">
        <f t="shared" si="2"/>
        <v>155</v>
      </c>
      <c r="H25" s="196"/>
      <c r="I25" s="196"/>
      <c r="J25" s="196"/>
      <c r="K25" s="193">
        <v>20.0</v>
      </c>
      <c r="L25" s="196">
        <f t="shared" si="3"/>
        <v>5.2</v>
      </c>
      <c r="M25" s="196"/>
      <c r="N25" s="196"/>
      <c r="O25" s="56"/>
      <c r="P25" s="193">
        <v>20.0</v>
      </c>
      <c r="Q25" s="196">
        <f t="shared" si="4"/>
        <v>205</v>
      </c>
      <c r="R25" s="196"/>
      <c r="S25" s="196"/>
      <c r="T25" s="56"/>
      <c r="U25" s="56"/>
      <c r="V25" s="56"/>
      <c r="W25" s="56"/>
      <c r="X25" s="56"/>
      <c r="Y25" s="56"/>
      <c r="Z25" s="56"/>
    </row>
    <row r="26">
      <c r="A26" s="193">
        <v>21.0</v>
      </c>
      <c r="B26" s="196">
        <f t="shared" si="1"/>
        <v>234</v>
      </c>
      <c r="C26" s="196"/>
      <c r="D26" s="196"/>
      <c r="E26" s="196"/>
      <c r="F26" s="193">
        <v>21.0</v>
      </c>
      <c r="G26" s="196">
        <f t="shared" si="2"/>
        <v>159</v>
      </c>
      <c r="H26" s="196"/>
      <c r="I26" s="196"/>
      <c r="J26" s="196"/>
      <c r="K26" s="193">
        <v>21.0</v>
      </c>
      <c r="L26" s="196">
        <f t="shared" si="3"/>
        <v>5.26</v>
      </c>
      <c r="M26" s="196"/>
      <c r="N26" s="196"/>
      <c r="O26" s="56"/>
      <c r="P26" s="193">
        <v>21.0</v>
      </c>
      <c r="Q26" s="196">
        <f t="shared" si="4"/>
        <v>211</v>
      </c>
      <c r="R26" s="196"/>
      <c r="S26" s="196"/>
      <c r="T26" s="56"/>
      <c r="U26" s="56"/>
      <c r="V26" s="56"/>
      <c r="W26" s="56"/>
      <c r="X26" s="56"/>
      <c r="Y26" s="56"/>
      <c r="Z26" s="56"/>
    </row>
    <row r="27">
      <c r="A27" s="193">
        <v>22.0</v>
      </c>
      <c r="B27" s="196">
        <f t="shared" si="1"/>
        <v>238</v>
      </c>
      <c r="C27" s="196"/>
      <c r="D27" s="196"/>
      <c r="E27" s="196"/>
      <c r="F27" s="193">
        <v>22.0</v>
      </c>
      <c r="G27" s="196">
        <f t="shared" si="2"/>
        <v>163</v>
      </c>
      <c r="H27" s="196"/>
      <c r="I27" s="196"/>
      <c r="J27" s="196"/>
      <c r="K27" s="193">
        <v>22.0</v>
      </c>
      <c r="L27" s="196">
        <f t="shared" si="3"/>
        <v>5.32</v>
      </c>
      <c r="M27" s="196"/>
      <c r="N27" s="196"/>
      <c r="O27" s="56"/>
      <c r="P27" s="193">
        <v>22.0</v>
      </c>
      <c r="Q27" s="196">
        <f t="shared" si="4"/>
        <v>217</v>
      </c>
      <c r="R27" s="196"/>
      <c r="S27" s="196"/>
      <c r="T27" s="56"/>
      <c r="U27" s="56"/>
      <c r="V27" s="56"/>
      <c r="W27" s="56"/>
      <c r="X27" s="56"/>
      <c r="Y27" s="56"/>
      <c r="Z27" s="56"/>
    </row>
    <row r="28">
      <c r="A28" s="193">
        <v>23.0</v>
      </c>
      <c r="B28" s="196">
        <f t="shared" si="1"/>
        <v>242</v>
      </c>
      <c r="C28" s="196"/>
      <c r="D28" s="196"/>
      <c r="E28" s="196"/>
      <c r="F28" s="193">
        <v>23.0</v>
      </c>
      <c r="G28" s="196">
        <f t="shared" si="2"/>
        <v>167</v>
      </c>
      <c r="H28" s="196"/>
      <c r="I28" s="196"/>
      <c r="J28" s="196"/>
      <c r="K28" s="193">
        <v>23.0</v>
      </c>
      <c r="L28" s="196">
        <f t="shared" si="3"/>
        <v>5.38</v>
      </c>
      <c r="M28" s="196"/>
      <c r="N28" s="196"/>
      <c r="O28" s="56"/>
      <c r="P28" s="193">
        <v>23.0</v>
      </c>
      <c r="Q28" s="196">
        <f t="shared" si="4"/>
        <v>223</v>
      </c>
      <c r="R28" s="196"/>
      <c r="S28" s="196"/>
      <c r="T28" s="56"/>
      <c r="U28" s="56"/>
      <c r="V28" s="56"/>
      <c r="W28" s="56"/>
      <c r="X28" s="56"/>
      <c r="Y28" s="56"/>
      <c r="Z28" s="56"/>
    </row>
    <row r="29">
      <c r="A29" s="193">
        <v>24.0</v>
      </c>
      <c r="B29" s="196">
        <f t="shared" si="1"/>
        <v>246</v>
      </c>
      <c r="C29" s="196"/>
      <c r="D29" s="196"/>
      <c r="E29" s="196"/>
      <c r="F29" s="193">
        <v>24.0</v>
      </c>
      <c r="G29" s="196">
        <f t="shared" si="2"/>
        <v>171</v>
      </c>
      <c r="H29" s="196"/>
      <c r="I29" s="196"/>
      <c r="J29" s="196"/>
      <c r="K29" s="193">
        <v>24.0</v>
      </c>
      <c r="L29" s="196">
        <f t="shared" si="3"/>
        <v>5.44</v>
      </c>
      <c r="M29" s="196"/>
      <c r="N29" s="196"/>
      <c r="O29" s="56"/>
      <c r="P29" s="193">
        <v>24.0</v>
      </c>
      <c r="Q29" s="196">
        <f t="shared" si="4"/>
        <v>229</v>
      </c>
      <c r="R29" s="196"/>
      <c r="S29" s="196"/>
      <c r="T29" s="56"/>
      <c r="U29" s="56"/>
      <c r="V29" s="56"/>
      <c r="W29" s="56"/>
      <c r="X29" s="56"/>
      <c r="Y29" s="56"/>
      <c r="Z29" s="56"/>
    </row>
    <row r="30">
      <c r="A30" s="193">
        <v>25.0</v>
      </c>
      <c r="B30" s="196">
        <f t="shared" si="1"/>
        <v>250</v>
      </c>
      <c r="C30" s="196"/>
      <c r="D30" s="196"/>
      <c r="E30" s="196"/>
      <c r="F30" s="193">
        <v>25.0</v>
      </c>
      <c r="G30" s="196">
        <f t="shared" si="2"/>
        <v>175</v>
      </c>
      <c r="H30" s="196"/>
      <c r="I30" s="196"/>
      <c r="J30" s="196"/>
      <c r="K30" s="193">
        <v>25.0</v>
      </c>
      <c r="L30" s="196">
        <f t="shared" si="3"/>
        <v>5.5</v>
      </c>
      <c r="M30" s="196"/>
      <c r="N30" s="196"/>
      <c r="O30" s="56"/>
      <c r="P30" s="193">
        <v>25.0</v>
      </c>
      <c r="Q30" s="196">
        <f t="shared" si="4"/>
        <v>235</v>
      </c>
      <c r="R30" s="196"/>
      <c r="S30" s="196"/>
      <c r="T30" s="56"/>
      <c r="U30" s="56"/>
      <c r="V30" s="56"/>
      <c r="W30" s="56"/>
      <c r="X30" s="56"/>
      <c r="Y30" s="56"/>
      <c r="Z30" s="56"/>
    </row>
    <row r="31">
      <c r="A31" s="193">
        <v>26.0</v>
      </c>
      <c r="B31" s="196">
        <f t="shared" si="1"/>
        <v>254</v>
      </c>
      <c r="C31" s="196"/>
      <c r="D31" s="196"/>
      <c r="E31" s="196"/>
      <c r="F31" s="193">
        <v>26.0</v>
      </c>
      <c r="G31" s="196">
        <f t="shared" si="2"/>
        <v>179</v>
      </c>
      <c r="H31" s="196"/>
      <c r="I31" s="196"/>
      <c r="J31" s="196"/>
      <c r="K31" s="193">
        <v>26.0</v>
      </c>
      <c r="L31" s="196">
        <f t="shared" si="3"/>
        <v>5.56</v>
      </c>
      <c r="M31" s="196"/>
      <c r="N31" s="196"/>
      <c r="O31" s="56"/>
      <c r="P31" s="193">
        <v>26.0</v>
      </c>
      <c r="Q31" s="196">
        <f t="shared" si="4"/>
        <v>241</v>
      </c>
      <c r="R31" s="196"/>
      <c r="S31" s="196"/>
      <c r="T31" s="56"/>
      <c r="U31" s="56"/>
      <c r="V31" s="56"/>
      <c r="W31" s="56"/>
      <c r="X31" s="56"/>
      <c r="Y31" s="56"/>
      <c r="Z31" s="56"/>
    </row>
    <row r="32">
      <c r="A32" s="193">
        <v>27.0</v>
      </c>
      <c r="B32" s="196">
        <f t="shared" si="1"/>
        <v>258</v>
      </c>
      <c r="C32" s="196"/>
      <c r="D32" s="196"/>
      <c r="E32" s="196"/>
      <c r="F32" s="193">
        <v>27.0</v>
      </c>
      <c r="G32" s="196">
        <f t="shared" si="2"/>
        <v>183</v>
      </c>
      <c r="H32" s="196"/>
      <c r="I32" s="196"/>
      <c r="J32" s="196"/>
      <c r="K32" s="193">
        <v>27.0</v>
      </c>
      <c r="L32" s="196">
        <f t="shared" si="3"/>
        <v>5.62</v>
      </c>
      <c r="M32" s="196"/>
      <c r="N32" s="196"/>
      <c r="O32" s="56"/>
      <c r="P32" s="193">
        <v>27.0</v>
      </c>
      <c r="Q32" s="196">
        <f t="shared" si="4"/>
        <v>247</v>
      </c>
      <c r="R32" s="196"/>
      <c r="S32" s="196"/>
      <c r="T32" s="56"/>
      <c r="U32" s="56"/>
      <c r="V32" s="56"/>
      <c r="W32" s="56"/>
      <c r="X32" s="56"/>
      <c r="Y32" s="56"/>
      <c r="Z32" s="56"/>
    </row>
    <row r="33">
      <c r="A33" s="193">
        <v>28.0</v>
      </c>
      <c r="B33" s="196">
        <f t="shared" si="1"/>
        <v>262</v>
      </c>
      <c r="C33" s="196"/>
      <c r="D33" s="196"/>
      <c r="E33" s="196"/>
      <c r="F33" s="193">
        <v>28.0</v>
      </c>
      <c r="G33" s="196">
        <f t="shared" si="2"/>
        <v>187</v>
      </c>
      <c r="H33" s="196"/>
      <c r="I33" s="196"/>
      <c r="J33" s="196"/>
      <c r="K33" s="193">
        <v>28.0</v>
      </c>
      <c r="L33" s="196">
        <f t="shared" si="3"/>
        <v>5.68</v>
      </c>
      <c r="M33" s="196"/>
      <c r="N33" s="196"/>
      <c r="O33" s="56"/>
      <c r="P33" s="193">
        <v>28.0</v>
      </c>
      <c r="Q33" s="196">
        <f t="shared" si="4"/>
        <v>253</v>
      </c>
      <c r="R33" s="196"/>
      <c r="S33" s="196"/>
      <c r="T33" s="56"/>
      <c r="U33" s="56"/>
      <c r="V33" s="56"/>
      <c r="W33" s="56"/>
      <c r="X33" s="56"/>
      <c r="Y33" s="56"/>
      <c r="Z33" s="56"/>
    </row>
    <row r="34">
      <c r="A34" s="193">
        <v>29.0</v>
      </c>
      <c r="B34" s="196">
        <f t="shared" si="1"/>
        <v>266</v>
      </c>
      <c r="C34" s="196"/>
      <c r="D34" s="196"/>
      <c r="E34" s="196"/>
      <c r="F34" s="193">
        <v>29.0</v>
      </c>
      <c r="G34" s="196">
        <f t="shared" si="2"/>
        <v>191</v>
      </c>
      <c r="H34" s="196"/>
      <c r="I34" s="196"/>
      <c r="J34" s="196"/>
      <c r="K34" s="193">
        <v>29.0</v>
      </c>
      <c r="L34" s="196">
        <f t="shared" si="3"/>
        <v>5.74</v>
      </c>
      <c r="M34" s="196"/>
      <c r="N34" s="196"/>
      <c r="O34" s="56"/>
      <c r="P34" s="193">
        <v>29.0</v>
      </c>
      <c r="Q34" s="196">
        <f t="shared" si="4"/>
        <v>259</v>
      </c>
      <c r="R34" s="196"/>
      <c r="S34" s="196"/>
      <c r="T34" s="56"/>
      <c r="U34" s="56"/>
      <c r="V34" s="56"/>
      <c r="W34" s="56"/>
      <c r="X34" s="56"/>
      <c r="Y34" s="56"/>
      <c r="Z34" s="56"/>
    </row>
    <row r="35">
      <c r="A35" s="193">
        <v>30.0</v>
      </c>
      <c r="B35" s="196">
        <f t="shared" si="1"/>
        <v>270</v>
      </c>
      <c r="C35" s="196"/>
      <c r="D35" s="196"/>
      <c r="E35" s="196"/>
      <c r="F35" s="193">
        <v>30.0</v>
      </c>
      <c r="G35" s="196">
        <f t="shared" si="2"/>
        <v>195</v>
      </c>
      <c r="H35" s="196"/>
      <c r="I35" s="196"/>
      <c r="J35" s="196"/>
      <c r="K35" s="193">
        <v>30.0</v>
      </c>
      <c r="L35" s="196">
        <f t="shared" si="3"/>
        <v>5.8</v>
      </c>
      <c r="M35" s="196"/>
      <c r="N35" s="196"/>
      <c r="O35" s="56"/>
      <c r="P35" s="193">
        <v>30.0</v>
      </c>
      <c r="Q35" s="196">
        <f t="shared" si="4"/>
        <v>265</v>
      </c>
      <c r="R35" s="196"/>
      <c r="S35" s="196"/>
      <c r="T35" s="56"/>
      <c r="U35" s="56"/>
      <c r="V35" s="56"/>
      <c r="W35" s="56"/>
      <c r="X35" s="56"/>
      <c r="Y35" s="56"/>
      <c r="Z35" s="56"/>
    </row>
    <row r="36">
      <c r="A36" s="193">
        <v>31.0</v>
      </c>
      <c r="B36" s="196">
        <f t="shared" si="1"/>
        <v>274</v>
      </c>
      <c r="C36" s="196"/>
      <c r="D36" s="196"/>
      <c r="E36" s="196"/>
      <c r="F36" s="193">
        <v>31.0</v>
      </c>
      <c r="G36" s="196">
        <f t="shared" si="2"/>
        <v>199</v>
      </c>
      <c r="H36" s="196"/>
      <c r="I36" s="196"/>
      <c r="J36" s="196"/>
      <c r="K36" s="193">
        <v>31.0</v>
      </c>
      <c r="L36" s="196">
        <f t="shared" si="3"/>
        <v>5.86</v>
      </c>
      <c r="M36" s="196"/>
      <c r="N36" s="196"/>
      <c r="O36" s="56"/>
      <c r="P36" s="193">
        <v>31.0</v>
      </c>
      <c r="Q36" s="196">
        <f t="shared" si="4"/>
        <v>271</v>
      </c>
      <c r="R36" s="196"/>
      <c r="S36" s="196"/>
      <c r="T36" s="56"/>
      <c r="U36" s="56"/>
      <c r="V36" s="56"/>
      <c r="W36" s="56"/>
      <c r="X36" s="56"/>
      <c r="Y36" s="56"/>
      <c r="Z36" s="56"/>
    </row>
    <row r="37">
      <c r="A37" s="193">
        <v>32.0</v>
      </c>
      <c r="B37" s="196">
        <f t="shared" si="1"/>
        <v>278</v>
      </c>
      <c r="C37" s="196"/>
      <c r="D37" s="196"/>
      <c r="E37" s="196"/>
      <c r="F37" s="193">
        <v>32.0</v>
      </c>
      <c r="G37" s="196">
        <f t="shared" si="2"/>
        <v>203</v>
      </c>
      <c r="H37" s="196"/>
      <c r="I37" s="196"/>
      <c r="J37" s="196"/>
      <c r="K37" s="193">
        <v>32.0</v>
      </c>
      <c r="L37" s="196">
        <f t="shared" si="3"/>
        <v>5.92</v>
      </c>
      <c r="M37" s="196"/>
      <c r="N37" s="196"/>
      <c r="O37" s="56"/>
      <c r="P37" s="193">
        <v>32.0</v>
      </c>
      <c r="Q37" s="196">
        <f t="shared" si="4"/>
        <v>277</v>
      </c>
      <c r="R37" s="196"/>
      <c r="S37" s="196"/>
      <c r="T37" s="56"/>
      <c r="U37" s="56"/>
      <c r="V37" s="56"/>
      <c r="W37" s="56"/>
      <c r="X37" s="56"/>
      <c r="Y37" s="56"/>
      <c r="Z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4.25"/>
  </cols>
  <sheetData>
    <row r="1">
      <c r="A1" s="197" t="s">
        <v>102</v>
      </c>
      <c r="B1" s="198"/>
      <c r="C1" s="199"/>
      <c r="D1" s="198"/>
      <c r="E1" s="200"/>
      <c r="F1" s="43"/>
      <c r="G1" s="47"/>
      <c r="H1" s="44"/>
      <c r="I1" s="43"/>
      <c r="J1" s="43" t="s">
        <v>233</v>
      </c>
      <c r="K1" s="47"/>
      <c r="L1" s="43" t="s">
        <v>234</v>
      </c>
      <c r="M1" s="44"/>
      <c r="N1" s="43"/>
      <c r="O1" s="43" t="s">
        <v>233</v>
      </c>
      <c r="P1" s="47"/>
      <c r="Q1" s="43" t="s">
        <v>235</v>
      </c>
      <c r="R1" s="44"/>
      <c r="S1" s="43"/>
      <c r="T1" s="43" t="s">
        <v>233</v>
      </c>
      <c r="U1" s="47"/>
      <c r="V1" s="43" t="s">
        <v>236</v>
      </c>
      <c r="W1" s="44"/>
      <c r="X1" s="43"/>
      <c r="Y1" s="43" t="s">
        <v>233</v>
      </c>
      <c r="Z1" s="47"/>
    </row>
    <row r="2">
      <c r="A2" s="201" t="s">
        <v>110</v>
      </c>
      <c r="B2" s="202" t="s">
        <v>78</v>
      </c>
      <c r="C2" s="202" t="s">
        <v>111</v>
      </c>
      <c r="D2" s="203">
        <f>VLOOKUP(B2, Heroes!$A$6:$H$53, 2, FALSE)*D5</f>
        <v>34.74</v>
      </c>
      <c r="E2" s="2"/>
      <c r="F2" s="47"/>
      <c r="G2" s="43" t="s">
        <v>237</v>
      </c>
      <c r="H2" s="204">
        <v>1.0</v>
      </c>
      <c r="I2" s="47">
        <f t="shared" ref="I2:I33" si="1">$D$3*H2+$D$2</f>
        <v>35.91</v>
      </c>
      <c r="J2" s="47">
        <f t="shared" ref="J2:J33" si="2">I2*$D$4</f>
        <v>57.0969</v>
      </c>
      <c r="K2" s="47"/>
      <c r="L2" s="43" t="s">
        <v>237</v>
      </c>
      <c r="M2" s="204">
        <v>1.0</v>
      </c>
      <c r="N2" s="47">
        <f t="shared" ref="N2:N33" si="3">$D$8*M2+$D$7</f>
        <v>7.59</v>
      </c>
      <c r="O2" s="47">
        <f t="shared" ref="O2:O33" si="4">N2*$D$9</f>
        <v>30.1323</v>
      </c>
      <c r="P2" s="47"/>
      <c r="Q2" s="43" t="s">
        <v>237</v>
      </c>
      <c r="R2" s="204">
        <v>1.0</v>
      </c>
      <c r="S2" s="47">
        <f t="shared" ref="S2:S33" si="5">$D$13*R2+$D$12</f>
        <v>6.92</v>
      </c>
      <c r="T2" s="47">
        <f t="shared" ref="T2:T33" si="6">S2*$D$14</f>
        <v>82.348</v>
      </c>
      <c r="U2" s="47"/>
      <c r="V2" s="43" t="s">
        <v>237</v>
      </c>
      <c r="W2" s="204">
        <v>1.0</v>
      </c>
      <c r="X2" s="47" t="str">
        <f t="shared" ref="X2:X33" si="7">$D$17*W2+$D$16</f>
        <v>#N/A</v>
      </c>
      <c r="Y2" s="47" t="str">
        <f t="shared" ref="Y2:Y33" si="8">X2*$D$18</f>
        <v>#N/A</v>
      </c>
      <c r="Z2" s="47"/>
    </row>
    <row r="3">
      <c r="A3" s="201" t="s">
        <v>116</v>
      </c>
      <c r="B3" s="202">
        <v>1.0</v>
      </c>
      <c r="C3" s="202" t="s">
        <v>114</v>
      </c>
      <c r="D3" s="203">
        <f>VLOOKUP(B2, Heroes!$A$6:$S$53, 19, FALSE)*B3*D5</f>
        <v>1.17</v>
      </c>
      <c r="E3" s="2"/>
      <c r="F3" s="43"/>
      <c r="G3" s="47"/>
      <c r="H3" s="204">
        <v>2.0</v>
      </c>
      <c r="I3" s="47">
        <f t="shared" si="1"/>
        <v>37.08</v>
      </c>
      <c r="J3" s="47">
        <f t="shared" si="2"/>
        <v>58.9572</v>
      </c>
      <c r="K3" s="47"/>
      <c r="L3" s="47"/>
      <c r="M3" s="204">
        <v>2.0</v>
      </c>
      <c r="N3" s="47">
        <f t="shared" si="3"/>
        <v>7.87</v>
      </c>
      <c r="O3" s="47">
        <f t="shared" si="4"/>
        <v>31.2439</v>
      </c>
      <c r="P3" s="47"/>
      <c r="Q3" s="47"/>
      <c r="R3" s="204">
        <v>2.0</v>
      </c>
      <c r="S3" s="47">
        <f t="shared" si="5"/>
        <v>7.12</v>
      </c>
      <c r="T3" s="47">
        <f t="shared" si="6"/>
        <v>84.728</v>
      </c>
      <c r="U3" s="47"/>
      <c r="V3" s="47"/>
      <c r="W3" s="204">
        <v>2.0</v>
      </c>
      <c r="X3" s="47" t="str">
        <f t="shared" si="7"/>
        <v>#N/A</v>
      </c>
      <c r="Y3" s="47" t="str">
        <f t="shared" si="8"/>
        <v>#N/A</v>
      </c>
      <c r="Z3" s="47"/>
    </row>
    <row r="4">
      <c r="A4" s="205"/>
      <c r="B4" s="202"/>
      <c r="C4" s="202" t="s">
        <v>134</v>
      </c>
      <c r="D4" s="203">
        <f>VLOOKUP(B2, Heroes!$A$6:$H$53, 7, FALSE)</f>
        <v>1.59</v>
      </c>
      <c r="E4" s="47"/>
      <c r="F4" s="47"/>
      <c r="G4" s="47"/>
      <c r="H4" s="204">
        <v>3.0</v>
      </c>
      <c r="I4" s="47">
        <f t="shared" si="1"/>
        <v>38.25</v>
      </c>
      <c r="J4" s="47">
        <f t="shared" si="2"/>
        <v>60.8175</v>
      </c>
      <c r="K4" s="47"/>
      <c r="L4" s="47"/>
      <c r="M4" s="204">
        <v>3.0</v>
      </c>
      <c r="N4" s="47">
        <f t="shared" si="3"/>
        <v>8.15</v>
      </c>
      <c r="O4" s="47">
        <f t="shared" si="4"/>
        <v>32.3555</v>
      </c>
      <c r="P4" s="47"/>
      <c r="Q4" s="47"/>
      <c r="R4" s="204">
        <v>3.0</v>
      </c>
      <c r="S4" s="47">
        <f t="shared" si="5"/>
        <v>7.32</v>
      </c>
      <c r="T4" s="47">
        <f t="shared" si="6"/>
        <v>87.108</v>
      </c>
      <c r="U4" s="47"/>
      <c r="V4" s="47"/>
      <c r="W4" s="204">
        <v>3.0</v>
      </c>
      <c r="X4" s="47" t="str">
        <f t="shared" si="7"/>
        <v>#N/A</v>
      </c>
      <c r="Y4" s="47" t="str">
        <f t="shared" si="8"/>
        <v>#N/A</v>
      </c>
      <c r="Z4" s="47"/>
    </row>
    <row r="5">
      <c r="A5" s="201"/>
      <c r="B5" s="202"/>
      <c r="C5" s="202" t="s">
        <v>10</v>
      </c>
      <c r="D5" s="206">
        <f>VLOOKUP(B2, Heroes!$A$6:$H$53, 3, FALSE)</f>
        <v>9</v>
      </c>
      <c r="E5" s="47"/>
      <c r="F5" s="47"/>
      <c r="G5" s="47"/>
      <c r="H5" s="204">
        <v>4.0</v>
      </c>
      <c r="I5" s="47">
        <f t="shared" si="1"/>
        <v>39.42</v>
      </c>
      <c r="J5" s="47">
        <f t="shared" si="2"/>
        <v>62.6778</v>
      </c>
      <c r="K5" s="47"/>
      <c r="L5" s="47"/>
      <c r="M5" s="204">
        <v>4.0</v>
      </c>
      <c r="N5" s="47">
        <f t="shared" si="3"/>
        <v>8.43</v>
      </c>
      <c r="O5" s="47">
        <f t="shared" si="4"/>
        <v>33.4671</v>
      </c>
      <c r="P5" s="47"/>
      <c r="Q5" s="47"/>
      <c r="R5" s="204">
        <v>4.0</v>
      </c>
      <c r="S5" s="47">
        <f t="shared" si="5"/>
        <v>7.52</v>
      </c>
      <c r="T5" s="47">
        <f t="shared" si="6"/>
        <v>89.488</v>
      </c>
      <c r="U5" s="47"/>
      <c r="V5" s="47"/>
      <c r="W5" s="204">
        <v>4.0</v>
      </c>
      <c r="X5" s="47" t="str">
        <f t="shared" si="7"/>
        <v>#N/A</v>
      </c>
      <c r="Y5" s="47" t="str">
        <f t="shared" si="8"/>
        <v>#N/A</v>
      </c>
      <c r="Z5" s="47"/>
    </row>
    <row r="6">
      <c r="A6" s="207" t="s">
        <v>102</v>
      </c>
      <c r="B6" s="208" t="s">
        <v>238</v>
      </c>
      <c r="C6" s="208"/>
      <c r="D6" s="209"/>
      <c r="E6" s="47"/>
      <c r="F6" s="43"/>
      <c r="G6" s="168"/>
      <c r="H6" s="204">
        <v>5.0</v>
      </c>
      <c r="I6" s="47">
        <f t="shared" si="1"/>
        <v>40.59</v>
      </c>
      <c r="J6" s="47">
        <f t="shared" si="2"/>
        <v>64.5381</v>
      </c>
      <c r="K6" s="47"/>
      <c r="L6" s="168"/>
      <c r="M6" s="204">
        <v>5.0</v>
      </c>
      <c r="N6" s="47">
        <f t="shared" si="3"/>
        <v>8.71</v>
      </c>
      <c r="O6" s="47">
        <f t="shared" si="4"/>
        <v>34.5787</v>
      </c>
      <c r="P6" s="47"/>
      <c r="Q6" s="168"/>
      <c r="R6" s="204">
        <v>5.0</v>
      </c>
      <c r="S6" s="47">
        <f t="shared" si="5"/>
        <v>7.72</v>
      </c>
      <c r="T6" s="47">
        <f t="shared" si="6"/>
        <v>91.868</v>
      </c>
      <c r="U6" s="47"/>
      <c r="V6" s="168"/>
      <c r="W6" s="204">
        <v>5.0</v>
      </c>
      <c r="X6" s="47" t="str">
        <f t="shared" si="7"/>
        <v>#N/A</v>
      </c>
      <c r="Y6" s="47" t="str">
        <f t="shared" si="8"/>
        <v>#N/A</v>
      </c>
      <c r="Z6" s="47"/>
    </row>
    <row r="7">
      <c r="A7" s="210" t="s">
        <v>110</v>
      </c>
      <c r="B7" s="211" t="s">
        <v>57</v>
      </c>
      <c r="C7" s="211" t="s">
        <v>111</v>
      </c>
      <c r="D7" s="212">
        <f>VLOOKUP(B7, Heroes!$A$6:$H$53, 2, FALSE)</f>
        <v>7.31</v>
      </c>
      <c r="E7" s="47"/>
      <c r="F7" s="43"/>
      <c r="G7" s="168"/>
      <c r="H7" s="204">
        <v>6.0</v>
      </c>
      <c r="I7" s="47">
        <f t="shared" si="1"/>
        <v>41.76</v>
      </c>
      <c r="J7" s="47">
        <f t="shared" si="2"/>
        <v>66.3984</v>
      </c>
      <c r="K7" s="47"/>
      <c r="L7" s="168"/>
      <c r="M7" s="204">
        <v>6.0</v>
      </c>
      <c r="N7" s="47">
        <f t="shared" si="3"/>
        <v>8.99</v>
      </c>
      <c r="O7" s="47">
        <f t="shared" si="4"/>
        <v>35.6903</v>
      </c>
      <c r="P7" s="47"/>
      <c r="Q7" s="168"/>
      <c r="R7" s="204">
        <v>6.0</v>
      </c>
      <c r="S7" s="47">
        <f t="shared" si="5"/>
        <v>7.92</v>
      </c>
      <c r="T7" s="47">
        <f t="shared" si="6"/>
        <v>94.248</v>
      </c>
      <c r="U7" s="47"/>
      <c r="V7" s="168"/>
      <c r="W7" s="204">
        <v>6.0</v>
      </c>
      <c r="X7" s="47" t="str">
        <f t="shared" si="7"/>
        <v>#N/A</v>
      </c>
      <c r="Y7" s="47" t="str">
        <f t="shared" si="8"/>
        <v>#N/A</v>
      </c>
      <c r="Z7" s="47"/>
    </row>
    <row r="8">
      <c r="A8" s="210" t="s">
        <v>116</v>
      </c>
      <c r="B8" s="211">
        <v>1.0</v>
      </c>
      <c r="C8" s="211" t="s">
        <v>114</v>
      </c>
      <c r="D8" s="212">
        <f>VLOOKUP(B7, Heroes!$A$6:$S$53, 19, FALSE)*B8*D10</f>
        <v>0.28</v>
      </c>
      <c r="E8" s="47"/>
      <c r="F8" s="43"/>
      <c r="G8" s="179"/>
      <c r="H8" s="204">
        <v>7.0</v>
      </c>
      <c r="I8" s="47">
        <f t="shared" si="1"/>
        <v>42.93</v>
      </c>
      <c r="J8" s="47">
        <f t="shared" si="2"/>
        <v>68.2587</v>
      </c>
      <c r="K8" s="47"/>
      <c r="L8" s="179"/>
      <c r="M8" s="204">
        <v>7.0</v>
      </c>
      <c r="N8" s="47">
        <f t="shared" si="3"/>
        <v>9.27</v>
      </c>
      <c r="O8" s="47">
        <f t="shared" si="4"/>
        <v>36.8019</v>
      </c>
      <c r="P8" s="47"/>
      <c r="Q8" s="179"/>
      <c r="R8" s="204">
        <v>7.0</v>
      </c>
      <c r="S8" s="47">
        <f t="shared" si="5"/>
        <v>8.12</v>
      </c>
      <c r="T8" s="47">
        <f t="shared" si="6"/>
        <v>96.628</v>
      </c>
      <c r="U8" s="47"/>
      <c r="V8" s="179"/>
      <c r="W8" s="204">
        <v>7.0</v>
      </c>
      <c r="X8" s="47" t="str">
        <f t="shared" si="7"/>
        <v>#N/A</v>
      </c>
      <c r="Y8" s="47" t="str">
        <f t="shared" si="8"/>
        <v>#N/A</v>
      </c>
      <c r="Z8" s="47"/>
    </row>
    <row r="9">
      <c r="A9" s="213"/>
      <c r="B9" s="211"/>
      <c r="C9" s="211" t="s">
        <v>134</v>
      </c>
      <c r="D9" s="212">
        <f>VLOOKUP(B7, Heroes!$A$6:$H$53, 7, FALSE)</f>
        <v>3.97</v>
      </c>
      <c r="E9" s="47"/>
      <c r="F9" s="47"/>
      <c r="G9" s="47"/>
      <c r="H9" s="204">
        <v>8.0</v>
      </c>
      <c r="I9" s="47">
        <f t="shared" si="1"/>
        <v>44.1</v>
      </c>
      <c r="J9" s="47">
        <f t="shared" si="2"/>
        <v>70.119</v>
      </c>
      <c r="K9" s="47"/>
      <c r="L9" s="47"/>
      <c r="M9" s="204">
        <v>8.0</v>
      </c>
      <c r="N9" s="47">
        <f t="shared" si="3"/>
        <v>9.55</v>
      </c>
      <c r="O9" s="47">
        <f t="shared" si="4"/>
        <v>37.9135</v>
      </c>
      <c r="P9" s="47"/>
      <c r="Q9" s="47"/>
      <c r="R9" s="204">
        <v>8.0</v>
      </c>
      <c r="S9" s="47">
        <f t="shared" si="5"/>
        <v>8.32</v>
      </c>
      <c r="T9" s="47">
        <f t="shared" si="6"/>
        <v>99.008</v>
      </c>
      <c r="U9" s="47"/>
      <c r="V9" s="47"/>
      <c r="W9" s="204">
        <v>8.0</v>
      </c>
      <c r="X9" s="47" t="str">
        <f t="shared" si="7"/>
        <v>#N/A</v>
      </c>
      <c r="Y9" s="47" t="str">
        <f t="shared" si="8"/>
        <v>#N/A</v>
      </c>
      <c r="Z9" s="47"/>
    </row>
    <row r="10">
      <c r="A10" s="211"/>
      <c r="B10" s="214"/>
      <c r="C10" s="211" t="s">
        <v>10</v>
      </c>
      <c r="D10" s="215">
        <f>VLOOKUP(B7, Heroes!$A$6:$H$53, 3, FALSE)</f>
        <v>1</v>
      </c>
      <c r="E10" s="47"/>
      <c r="F10" s="47"/>
      <c r="G10" s="47"/>
      <c r="H10" s="204">
        <v>9.0</v>
      </c>
      <c r="I10" s="47">
        <f t="shared" si="1"/>
        <v>45.27</v>
      </c>
      <c r="J10" s="47">
        <f t="shared" si="2"/>
        <v>71.9793</v>
      </c>
      <c r="K10" s="47"/>
      <c r="L10" s="47"/>
      <c r="M10" s="204">
        <v>9.0</v>
      </c>
      <c r="N10" s="47">
        <f t="shared" si="3"/>
        <v>9.83</v>
      </c>
      <c r="O10" s="47">
        <f t="shared" si="4"/>
        <v>39.0251</v>
      </c>
      <c r="P10" s="47"/>
      <c r="Q10" s="47"/>
      <c r="R10" s="204">
        <v>9.0</v>
      </c>
      <c r="S10" s="47">
        <f t="shared" si="5"/>
        <v>8.52</v>
      </c>
      <c r="T10" s="47">
        <f t="shared" si="6"/>
        <v>101.388</v>
      </c>
      <c r="U10" s="47"/>
      <c r="V10" s="47"/>
      <c r="W10" s="204">
        <v>9.0</v>
      </c>
      <c r="X10" s="47" t="str">
        <f t="shared" si="7"/>
        <v>#N/A</v>
      </c>
      <c r="Y10" s="47" t="str">
        <f t="shared" si="8"/>
        <v>#N/A</v>
      </c>
      <c r="Z10" s="47"/>
    </row>
    <row r="11">
      <c r="A11" s="216" t="s">
        <v>102</v>
      </c>
      <c r="B11" s="217" t="s">
        <v>239</v>
      </c>
      <c r="C11" s="217"/>
      <c r="D11" s="218"/>
      <c r="E11" s="96"/>
      <c r="F11" s="47"/>
      <c r="G11" s="47"/>
      <c r="H11" s="204">
        <v>10.0</v>
      </c>
      <c r="I11" s="47">
        <f t="shared" si="1"/>
        <v>46.44</v>
      </c>
      <c r="J11" s="47">
        <f t="shared" si="2"/>
        <v>73.8396</v>
      </c>
      <c r="K11" s="47"/>
      <c r="L11" s="47"/>
      <c r="M11" s="204">
        <v>10.0</v>
      </c>
      <c r="N11" s="47">
        <f t="shared" si="3"/>
        <v>10.11</v>
      </c>
      <c r="O11" s="47">
        <f t="shared" si="4"/>
        <v>40.1367</v>
      </c>
      <c r="P11" s="47"/>
      <c r="Q11" s="47"/>
      <c r="R11" s="204">
        <v>10.0</v>
      </c>
      <c r="S11" s="47">
        <f t="shared" si="5"/>
        <v>8.72</v>
      </c>
      <c r="T11" s="47">
        <f t="shared" si="6"/>
        <v>103.768</v>
      </c>
      <c r="U11" s="47"/>
      <c r="V11" s="47"/>
      <c r="W11" s="204">
        <v>10.0</v>
      </c>
      <c r="X11" s="47" t="str">
        <f t="shared" si="7"/>
        <v>#N/A</v>
      </c>
      <c r="Y11" s="47" t="str">
        <f t="shared" si="8"/>
        <v>#N/A</v>
      </c>
      <c r="Z11" s="47"/>
    </row>
    <row r="12">
      <c r="A12" s="219" t="s">
        <v>110</v>
      </c>
      <c r="B12" s="220" t="s">
        <v>100</v>
      </c>
      <c r="C12" s="220" t="s">
        <v>111</v>
      </c>
      <c r="D12" s="221">
        <f>VLOOKUP(B12, Heroes!$A$6:$H$53, 2, FALSE)</f>
        <v>6.72</v>
      </c>
      <c r="E12" s="47"/>
      <c r="F12" s="47"/>
      <c r="G12" s="47"/>
      <c r="H12" s="204">
        <v>11.0</v>
      </c>
      <c r="I12" s="47">
        <f t="shared" si="1"/>
        <v>47.61</v>
      </c>
      <c r="J12" s="47">
        <f t="shared" si="2"/>
        <v>75.6999</v>
      </c>
      <c r="K12" s="47"/>
      <c r="L12" s="47"/>
      <c r="M12" s="204">
        <v>11.0</v>
      </c>
      <c r="N12" s="47">
        <f t="shared" si="3"/>
        <v>10.39</v>
      </c>
      <c r="O12" s="47">
        <f t="shared" si="4"/>
        <v>41.2483</v>
      </c>
      <c r="P12" s="47"/>
      <c r="Q12" s="47"/>
      <c r="R12" s="204">
        <v>11.0</v>
      </c>
      <c r="S12" s="47">
        <f t="shared" si="5"/>
        <v>8.92</v>
      </c>
      <c r="T12" s="47">
        <f t="shared" si="6"/>
        <v>106.148</v>
      </c>
      <c r="U12" s="47"/>
      <c r="V12" s="47"/>
      <c r="W12" s="204">
        <v>11.0</v>
      </c>
      <c r="X12" s="47" t="str">
        <f t="shared" si="7"/>
        <v>#N/A</v>
      </c>
      <c r="Y12" s="47" t="str">
        <f t="shared" si="8"/>
        <v>#N/A</v>
      </c>
      <c r="Z12" s="47"/>
    </row>
    <row r="13">
      <c r="A13" s="219" t="s">
        <v>116</v>
      </c>
      <c r="B13" s="220">
        <v>1.0</v>
      </c>
      <c r="C13" s="220" t="s">
        <v>114</v>
      </c>
      <c r="D13" s="221">
        <f>VLOOKUP(B12, Heroes!$A$6:$S$53, 19, FALSE)*B13*B14</f>
        <v>0.2</v>
      </c>
      <c r="E13" s="47"/>
      <c r="F13" s="47"/>
      <c r="G13" s="47"/>
      <c r="H13" s="204">
        <v>12.0</v>
      </c>
      <c r="I13" s="47">
        <f t="shared" si="1"/>
        <v>48.78</v>
      </c>
      <c r="J13" s="47">
        <f t="shared" si="2"/>
        <v>77.5602</v>
      </c>
      <c r="K13" s="47"/>
      <c r="L13" s="47"/>
      <c r="M13" s="204">
        <v>12.0</v>
      </c>
      <c r="N13" s="47">
        <f t="shared" si="3"/>
        <v>10.67</v>
      </c>
      <c r="O13" s="47">
        <f t="shared" si="4"/>
        <v>42.3599</v>
      </c>
      <c r="P13" s="47"/>
      <c r="Q13" s="47"/>
      <c r="R13" s="204">
        <v>12.0</v>
      </c>
      <c r="S13" s="47">
        <f t="shared" si="5"/>
        <v>9.12</v>
      </c>
      <c r="T13" s="47">
        <f t="shared" si="6"/>
        <v>108.528</v>
      </c>
      <c r="U13" s="47"/>
      <c r="V13" s="47"/>
      <c r="W13" s="204">
        <v>12.0</v>
      </c>
      <c r="X13" s="47" t="str">
        <f t="shared" si="7"/>
        <v>#N/A</v>
      </c>
      <c r="Y13" s="47" t="str">
        <f t="shared" si="8"/>
        <v>#N/A</v>
      </c>
      <c r="Z13" s="47"/>
    </row>
    <row r="14">
      <c r="A14" s="220" t="s">
        <v>10</v>
      </c>
      <c r="B14" s="222">
        <f>VLOOKUP(B12, Heroes!$A$6:$H$53, 3, FALSE)</f>
        <v>1</v>
      </c>
      <c r="C14" s="220" t="s">
        <v>134</v>
      </c>
      <c r="D14" s="221">
        <f>VLOOKUP(B12, Heroes!$A$6:$H$53, 7, FALSE)</f>
        <v>11.9</v>
      </c>
      <c r="E14" s="47"/>
      <c r="F14" s="47"/>
      <c r="G14" s="47"/>
      <c r="H14" s="204">
        <v>13.0</v>
      </c>
      <c r="I14" s="47">
        <f t="shared" si="1"/>
        <v>49.95</v>
      </c>
      <c r="J14" s="47">
        <f t="shared" si="2"/>
        <v>79.4205</v>
      </c>
      <c r="K14" s="47"/>
      <c r="L14" s="47"/>
      <c r="M14" s="204">
        <v>13.0</v>
      </c>
      <c r="N14" s="47">
        <f t="shared" si="3"/>
        <v>10.95</v>
      </c>
      <c r="O14" s="47">
        <f t="shared" si="4"/>
        <v>43.4715</v>
      </c>
      <c r="P14" s="47"/>
      <c r="Q14" s="47"/>
      <c r="R14" s="204">
        <v>13.0</v>
      </c>
      <c r="S14" s="47">
        <f t="shared" si="5"/>
        <v>9.32</v>
      </c>
      <c r="T14" s="47">
        <f t="shared" si="6"/>
        <v>110.908</v>
      </c>
      <c r="U14" s="47"/>
      <c r="V14" s="47"/>
      <c r="W14" s="204">
        <v>13.0</v>
      </c>
      <c r="X14" s="47" t="str">
        <f t="shared" si="7"/>
        <v>#N/A</v>
      </c>
      <c r="Y14" s="47" t="str">
        <f t="shared" si="8"/>
        <v>#N/A</v>
      </c>
      <c r="Z14" s="47"/>
    </row>
    <row r="15">
      <c r="A15" s="223" t="s">
        <v>102</v>
      </c>
      <c r="B15" s="224" t="s">
        <v>240</v>
      </c>
      <c r="C15" s="224"/>
      <c r="D15" s="225"/>
      <c r="E15" s="47"/>
      <c r="F15" s="47"/>
      <c r="G15" s="47"/>
      <c r="H15" s="204">
        <v>14.0</v>
      </c>
      <c r="I15" s="47">
        <f t="shared" si="1"/>
        <v>51.12</v>
      </c>
      <c r="J15" s="47">
        <f t="shared" si="2"/>
        <v>81.2808</v>
      </c>
      <c r="K15" s="47"/>
      <c r="L15" s="47"/>
      <c r="M15" s="204">
        <v>14.0</v>
      </c>
      <c r="N15" s="47">
        <f t="shared" si="3"/>
        <v>11.23</v>
      </c>
      <c r="O15" s="47">
        <f t="shared" si="4"/>
        <v>44.5831</v>
      </c>
      <c r="P15" s="47"/>
      <c r="Q15" s="47"/>
      <c r="R15" s="204">
        <v>14.0</v>
      </c>
      <c r="S15" s="47">
        <f t="shared" si="5"/>
        <v>9.52</v>
      </c>
      <c r="T15" s="47">
        <f t="shared" si="6"/>
        <v>113.288</v>
      </c>
      <c r="U15" s="47"/>
      <c r="V15" s="47"/>
      <c r="W15" s="204">
        <v>14.0</v>
      </c>
      <c r="X15" s="47" t="str">
        <f t="shared" si="7"/>
        <v>#N/A</v>
      </c>
      <c r="Y15" s="47" t="str">
        <f t="shared" si="8"/>
        <v>#N/A</v>
      </c>
      <c r="Z15" s="47"/>
    </row>
    <row r="16">
      <c r="A16" s="226" t="s">
        <v>110</v>
      </c>
      <c r="B16" s="227" t="s">
        <v>97</v>
      </c>
      <c r="C16" s="227" t="s">
        <v>111</v>
      </c>
      <c r="D16" s="228" t="str">
        <f>VLOOKUP(B16, Heroes!$A$6:$H$53, 2, FALSE)*B18</f>
        <v>#N/A</v>
      </c>
      <c r="E16" s="47"/>
      <c r="F16" s="47"/>
      <c r="G16" s="47"/>
      <c r="H16" s="204">
        <v>15.0</v>
      </c>
      <c r="I16" s="47">
        <f t="shared" si="1"/>
        <v>52.29</v>
      </c>
      <c r="J16" s="47">
        <f t="shared" si="2"/>
        <v>83.1411</v>
      </c>
      <c r="K16" s="47"/>
      <c r="L16" s="47"/>
      <c r="M16" s="204">
        <v>15.0</v>
      </c>
      <c r="N16" s="47">
        <f t="shared" si="3"/>
        <v>11.51</v>
      </c>
      <c r="O16" s="47">
        <f t="shared" si="4"/>
        <v>45.6947</v>
      </c>
      <c r="P16" s="47"/>
      <c r="Q16" s="47"/>
      <c r="R16" s="204">
        <v>15.0</v>
      </c>
      <c r="S16" s="47">
        <f t="shared" si="5"/>
        <v>9.72</v>
      </c>
      <c r="T16" s="47">
        <f t="shared" si="6"/>
        <v>115.668</v>
      </c>
      <c r="U16" s="47"/>
      <c r="V16" s="47"/>
      <c r="W16" s="204">
        <v>15.0</v>
      </c>
      <c r="X16" s="47" t="str">
        <f t="shared" si="7"/>
        <v>#N/A</v>
      </c>
      <c r="Y16" s="47" t="str">
        <f t="shared" si="8"/>
        <v>#N/A</v>
      </c>
      <c r="Z16" s="47"/>
    </row>
    <row r="17">
      <c r="A17" s="226" t="s">
        <v>116</v>
      </c>
      <c r="B17" s="227">
        <v>1.0</v>
      </c>
      <c r="C17" s="227" t="s">
        <v>114</v>
      </c>
      <c r="D17" s="228" t="str">
        <f>(VLOOKUP(B16, Heroes!$A$6:$S$53, 19, FALSE)*B17)*B18</f>
        <v>#N/A</v>
      </c>
      <c r="E17" s="47"/>
      <c r="F17" s="47"/>
      <c r="G17" s="47"/>
      <c r="H17" s="204">
        <v>16.0</v>
      </c>
      <c r="I17" s="47">
        <f t="shared" si="1"/>
        <v>53.46</v>
      </c>
      <c r="J17" s="47">
        <f t="shared" si="2"/>
        <v>85.0014</v>
      </c>
      <c r="K17" s="47"/>
      <c r="L17" s="47"/>
      <c r="M17" s="204">
        <v>16.0</v>
      </c>
      <c r="N17" s="47">
        <f t="shared" si="3"/>
        <v>11.79</v>
      </c>
      <c r="O17" s="47">
        <f t="shared" si="4"/>
        <v>46.8063</v>
      </c>
      <c r="P17" s="47"/>
      <c r="Q17" s="47"/>
      <c r="R17" s="204">
        <v>16.0</v>
      </c>
      <c r="S17" s="47">
        <f t="shared" si="5"/>
        <v>9.92</v>
      </c>
      <c r="T17" s="47">
        <f t="shared" si="6"/>
        <v>118.048</v>
      </c>
      <c r="U17" s="47"/>
      <c r="V17" s="47"/>
      <c r="W17" s="204">
        <v>16.0</v>
      </c>
      <c r="X17" s="47" t="str">
        <f t="shared" si="7"/>
        <v>#N/A</v>
      </c>
      <c r="Y17" s="47" t="str">
        <f t="shared" si="8"/>
        <v>#N/A</v>
      </c>
      <c r="Z17" s="47"/>
    </row>
    <row r="18">
      <c r="A18" s="227" t="s">
        <v>10</v>
      </c>
      <c r="B18" s="229" t="str">
        <f>VLOOKUP(B16, Heroes!$A$6:$H$36, 3, FALSE)</f>
        <v>#N/A</v>
      </c>
      <c r="C18" s="227" t="s">
        <v>134</v>
      </c>
      <c r="D18" s="228">
        <f>VLOOKUP(B16, Heroes!$A$6:$H$53, 7, FALSE)</f>
        <v>4.19</v>
      </c>
      <c r="E18" s="47"/>
      <c r="F18" s="47"/>
      <c r="G18" s="47"/>
      <c r="H18" s="204">
        <v>17.0</v>
      </c>
      <c r="I18" s="47">
        <f t="shared" si="1"/>
        <v>54.63</v>
      </c>
      <c r="J18" s="47">
        <f t="shared" si="2"/>
        <v>86.8617</v>
      </c>
      <c r="K18" s="47"/>
      <c r="L18" s="47"/>
      <c r="M18" s="204">
        <v>17.0</v>
      </c>
      <c r="N18" s="47">
        <f t="shared" si="3"/>
        <v>12.07</v>
      </c>
      <c r="O18" s="47">
        <f t="shared" si="4"/>
        <v>47.9179</v>
      </c>
      <c r="P18" s="47"/>
      <c r="Q18" s="47"/>
      <c r="R18" s="204">
        <v>17.0</v>
      </c>
      <c r="S18" s="47">
        <f t="shared" si="5"/>
        <v>10.12</v>
      </c>
      <c r="T18" s="47">
        <f t="shared" si="6"/>
        <v>120.428</v>
      </c>
      <c r="U18" s="47"/>
      <c r="V18" s="47"/>
      <c r="W18" s="204">
        <v>17.0</v>
      </c>
      <c r="X18" s="47" t="str">
        <f t="shared" si="7"/>
        <v>#N/A</v>
      </c>
      <c r="Y18" s="47" t="str">
        <f t="shared" si="8"/>
        <v>#N/A</v>
      </c>
      <c r="Z18" s="47"/>
    </row>
    <row r="19">
      <c r="A19" s="47"/>
      <c r="B19" s="47"/>
      <c r="C19" s="47"/>
      <c r="D19" s="47"/>
      <c r="E19" s="47"/>
      <c r="F19" s="47"/>
      <c r="G19" s="47"/>
      <c r="H19" s="204">
        <v>18.0</v>
      </c>
      <c r="I19" s="47">
        <f t="shared" si="1"/>
        <v>55.8</v>
      </c>
      <c r="J19" s="47">
        <f t="shared" si="2"/>
        <v>88.722</v>
      </c>
      <c r="K19" s="47"/>
      <c r="L19" s="47"/>
      <c r="M19" s="204">
        <v>18.0</v>
      </c>
      <c r="N19" s="47">
        <f t="shared" si="3"/>
        <v>12.35</v>
      </c>
      <c r="O19" s="47">
        <f t="shared" si="4"/>
        <v>49.0295</v>
      </c>
      <c r="P19" s="47"/>
      <c r="Q19" s="47"/>
      <c r="R19" s="204">
        <v>18.0</v>
      </c>
      <c r="S19" s="47">
        <f t="shared" si="5"/>
        <v>10.32</v>
      </c>
      <c r="T19" s="47">
        <f t="shared" si="6"/>
        <v>122.808</v>
      </c>
      <c r="U19" s="47"/>
      <c r="V19" s="47"/>
      <c r="W19" s="204">
        <v>18.0</v>
      </c>
      <c r="X19" s="47" t="str">
        <f t="shared" si="7"/>
        <v>#N/A</v>
      </c>
      <c r="Y19" s="47" t="str">
        <f t="shared" si="8"/>
        <v>#N/A</v>
      </c>
      <c r="Z19" s="47"/>
    </row>
    <row r="20">
      <c r="A20" s="47"/>
      <c r="B20" s="47"/>
      <c r="C20" s="47"/>
      <c r="D20" s="47"/>
      <c r="E20" s="47"/>
      <c r="F20" s="47"/>
      <c r="G20" s="47"/>
      <c r="H20" s="204">
        <v>19.0</v>
      </c>
      <c r="I20" s="47">
        <f t="shared" si="1"/>
        <v>56.97</v>
      </c>
      <c r="J20" s="47">
        <f t="shared" si="2"/>
        <v>90.5823</v>
      </c>
      <c r="K20" s="47"/>
      <c r="L20" s="47"/>
      <c r="M20" s="204">
        <v>19.0</v>
      </c>
      <c r="N20" s="47">
        <f t="shared" si="3"/>
        <v>12.63</v>
      </c>
      <c r="O20" s="47">
        <f t="shared" si="4"/>
        <v>50.1411</v>
      </c>
      <c r="P20" s="47"/>
      <c r="Q20" s="47"/>
      <c r="R20" s="204">
        <v>19.0</v>
      </c>
      <c r="S20" s="47">
        <f t="shared" si="5"/>
        <v>10.52</v>
      </c>
      <c r="T20" s="47">
        <f t="shared" si="6"/>
        <v>125.188</v>
      </c>
      <c r="U20" s="47"/>
      <c r="V20" s="47"/>
      <c r="W20" s="204">
        <v>19.0</v>
      </c>
      <c r="X20" s="47" t="str">
        <f t="shared" si="7"/>
        <v>#N/A</v>
      </c>
      <c r="Y20" s="47" t="str">
        <f t="shared" si="8"/>
        <v>#N/A</v>
      </c>
      <c r="Z20" s="47"/>
    </row>
    <row r="21">
      <c r="A21" s="47"/>
      <c r="B21" s="47"/>
      <c r="C21" s="47"/>
      <c r="D21" s="47"/>
      <c r="E21" s="47"/>
      <c r="F21" s="47"/>
      <c r="G21" s="47"/>
      <c r="H21" s="204">
        <v>20.0</v>
      </c>
      <c r="I21" s="47">
        <f t="shared" si="1"/>
        <v>58.14</v>
      </c>
      <c r="J21" s="47">
        <f t="shared" si="2"/>
        <v>92.4426</v>
      </c>
      <c r="K21" s="47"/>
      <c r="L21" s="47"/>
      <c r="M21" s="204">
        <v>20.0</v>
      </c>
      <c r="N21" s="47">
        <f t="shared" si="3"/>
        <v>12.91</v>
      </c>
      <c r="O21" s="47">
        <f t="shared" si="4"/>
        <v>51.2527</v>
      </c>
      <c r="P21" s="47"/>
      <c r="Q21" s="47"/>
      <c r="R21" s="204">
        <v>20.0</v>
      </c>
      <c r="S21" s="47">
        <f t="shared" si="5"/>
        <v>10.72</v>
      </c>
      <c r="T21" s="47">
        <f t="shared" si="6"/>
        <v>127.568</v>
      </c>
      <c r="U21" s="47"/>
      <c r="V21" s="47"/>
      <c r="W21" s="204">
        <v>20.0</v>
      </c>
      <c r="X21" s="47" t="str">
        <f t="shared" si="7"/>
        <v>#N/A</v>
      </c>
      <c r="Y21" s="47" t="str">
        <f t="shared" si="8"/>
        <v>#N/A</v>
      </c>
      <c r="Z21" s="47"/>
    </row>
    <row r="22">
      <c r="A22" s="47"/>
      <c r="B22" s="47"/>
      <c r="C22" s="47"/>
      <c r="D22" s="47"/>
      <c r="E22" s="47"/>
      <c r="F22" s="47"/>
      <c r="G22" s="47"/>
      <c r="H22" s="204">
        <v>21.0</v>
      </c>
      <c r="I22" s="47">
        <f t="shared" si="1"/>
        <v>59.31</v>
      </c>
      <c r="J22" s="47">
        <f t="shared" si="2"/>
        <v>94.3029</v>
      </c>
      <c r="K22" s="47"/>
      <c r="L22" s="47"/>
      <c r="M22" s="204">
        <v>21.0</v>
      </c>
      <c r="N22" s="47">
        <f t="shared" si="3"/>
        <v>13.19</v>
      </c>
      <c r="O22" s="47">
        <f t="shared" si="4"/>
        <v>52.3643</v>
      </c>
      <c r="P22" s="47"/>
      <c r="Q22" s="47"/>
      <c r="R22" s="204">
        <v>21.0</v>
      </c>
      <c r="S22" s="47">
        <f t="shared" si="5"/>
        <v>10.92</v>
      </c>
      <c r="T22" s="47">
        <f t="shared" si="6"/>
        <v>129.948</v>
      </c>
      <c r="U22" s="47"/>
      <c r="V22" s="47"/>
      <c r="W22" s="204">
        <v>21.0</v>
      </c>
      <c r="X22" s="47" t="str">
        <f t="shared" si="7"/>
        <v>#N/A</v>
      </c>
      <c r="Y22" s="47" t="str">
        <f t="shared" si="8"/>
        <v>#N/A</v>
      </c>
      <c r="Z22" s="47"/>
    </row>
    <row r="23">
      <c r="A23" s="47"/>
      <c r="B23" s="47"/>
      <c r="C23" s="47"/>
      <c r="D23" s="47"/>
      <c r="E23" s="47"/>
      <c r="F23" s="47"/>
      <c r="G23" s="47"/>
      <c r="H23" s="204">
        <v>22.0</v>
      </c>
      <c r="I23" s="47">
        <f t="shared" si="1"/>
        <v>60.48</v>
      </c>
      <c r="J23" s="47">
        <f t="shared" si="2"/>
        <v>96.1632</v>
      </c>
      <c r="K23" s="47"/>
      <c r="L23" s="47"/>
      <c r="M23" s="204">
        <v>22.0</v>
      </c>
      <c r="N23" s="47">
        <f t="shared" si="3"/>
        <v>13.47</v>
      </c>
      <c r="O23" s="47">
        <f t="shared" si="4"/>
        <v>53.4759</v>
      </c>
      <c r="P23" s="47"/>
      <c r="Q23" s="47"/>
      <c r="R23" s="204">
        <v>22.0</v>
      </c>
      <c r="S23" s="47">
        <f t="shared" si="5"/>
        <v>11.12</v>
      </c>
      <c r="T23" s="47">
        <f t="shared" si="6"/>
        <v>132.328</v>
      </c>
      <c r="U23" s="47"/>
      <c r="V23" s="47"/>
      <c r="W23" s="204">
        <v>22.0</v>
      </c>
      <c r="X23" s="47" t="str">
        <f t="shared" si="7"/>
        <v>#N/A</v>
      </c>
      <c r="Y23" s="47" t="str">
        <f t="shared" si="8"/>
        <v>#N/A</v>
      </c>
      <c r="Z23" s="47"/>
    </row>
    <row r="24">
      <c r="A24" s="47"/>
      <c r="B24" s="47"/>
      <c r="C24" s="47"/>
      <c r="D24" s="47"/>
      <c r="E24" s="47"/>
      <c r="F24" s="47"/>
      <c r="G24" s="47"/>
      <c r="H24" s="204">
        <v>23.0</v>
      </c>
      <c r="I24" s="47">
        <f t="shared" si="1"/>
        <v>61.65</v>
      </c>
      <c r="J24" s="47">
        <f t="shared" si="2"/>
        <v>98.0235</v>
      </c>
      <c r="K24" s="47"/>
      <c r="L24" s="47"/>
      <c r="M24" s="204">
        <v>23.0</v>
      </c>
      <c r="N24" s="47">
        <f t="shared" si="3"/>
        <v>13.75</v>
      </c>
      <c r="O24" s="47">
        <f t="shared" si="4"/>
        <v>54.5875</v>
      </c>
      <c r="P24" s="47"/>
      <c r="Q24" s="47"/>
      <c r="R24" s="204">
        <v>23.0</v>
      </c>
      <c r="S24" s="47">
        <f t="shared" si="5"/>
        <v>11.32</v>
      </c>
      <c r="T24" s="47">
        <f t="shared" si="6"/>
        <v>134.708</v>
      </c>
      <c r="U24" s="47"/>
      <c r="V24" s="47"/>
      <c r="W24" s="204">
        <v>23.0</v>
      </c>
      <c r="X24" s="47" t="str">
        <f t="shared" si="7"/>
        <v>#N/A</v>
      </c>
      <c r="Y24" s="47" t="str">
        <f t="shared" si="8"/>
        <v>#N/A</v>
      </c>
      <c r="Z24" s="47"/>
    </row>
    <row r="25">
      <c r="A25" s="47"/>
      <c r="B25" s="47"/>
      <c r="C25" s="47"/>
      <c r="D25" s="47"/>
      <c r="E25" s="47"/>
      <c r="F25" s="47"/>
      <c r="G25" s="47"/>
      <c r="H25" s="204">
        <v>24.0</v>
      </c>
      <c r="I25" s="47">
        <f t="shared" si="1"/>
        <v>62.82</v>
      </c>
      <c r="J25" s="47">
        <f t="shared" si="2"/>
        <v>99.8838</v>
      </c>
      <c r="K25" s="47"/>
      <c r="L25" s="47"/>
      <c r="M25" s="204">
        <v>24.0</v>
      </c>
      <c r="N25" s="47">
        <f t="shared" si="3"/>
        <v>14.03</v>
      </c>
      <c r="O25" s="47">
        <f t="shared" si="4"/>
        <v>55.6991</v>
      </c>
      <c r="P25" s="47"/>
      <c r="Q25" s="47"/>
      <c r="R25" s="204">
        <v>24.0</v>
      </c>
      <c r="S25" s="47">
        <f t="shared" si="5"/>
        <v>11.52</v>
      </c>
      <c r="T25" s="47">
        <f t="shared" si="6"/>
        <v>137.088</v>
      </c>
      <c r="U25" s="47"/>
      <c r="V25" s="47"/>
      <c r="W25" s="204">
        <v>24.0</v>
      </c>
      <c r="X25" s="47" t="str">
        <f t="shared" si="7"/>
        <v>#N/A</v>
      </c>
      <c r="Y25" s="47" t="str">
        <f t="shared" si="8"/>
        <v>#N/A</v>
      </c>
      <c r="Z25" s="47"/>
    </row>
    <row r="26">
      <c r="A26" s="47"/>
      <c r="B26" s="47"/>
      <c r="C26" s="47"/>
      <c r="D26" s="47"/>
      <c r="E26" s="47"/>
      <c r="F26" s="47"/>
      <c r="G26" s="47"/>
      <c r="H26" s="204">
        <v>25.0</v>
      </c>
      <c r="I26" s="47">
        <f t="shared" si="1"/>
        <v>63.99</v>
      </c>
      <c r="J26" s="47">
        <f t="shared" si="2"/>
        <v>101.7441</v>
      </c>
      <c r="K26" s="47"/>
      <c r="L26" s="47"/>
      <c r="M26" s="204">
        <v>25.0</v>
      </c>
      <c r="N26" s="47">
        <f t="shared" si="3"/>
        <v>14.31</v>
      </c>
      <c r="O26" s="47">
        <f t="shared" si="4"/>
        <v>56.8107</v>
      </c>
      <c r="P26" s="47"/>
      <c r="Q26" s="47"/>
      <c r="R26" s="204">
        <v>25.0</v>
      </c>
      <c r="S26" s="47">
        <f t="shared" si="5"/>
        <v>11.72</v>
      </c>
      <c r="T26" s="47">
        <f t="shared" si="6"/>
        <v>139.468</v>
      </c>
      <c r="U26" s="47"/>
      <c r="V26" s="47"/>
      <c r="W26" s="204">
        <v>25.0</v>
      </c>
      <c r="X26" s="47" t="str">
        <f t="shared" si="7"/>
        <v>#N/A</v>
      </c>
      <c r="Y26" s="47" t="str">
        <f t="shared" si="8"/>
        <v>#N/A</v>
      </c>
      <c r="Z26" s="47"/>
    </row>
    <row r="27">
      <c r="A27" s="47"/>
      <c r="B27" s="47"/>
      <c r="C27" s="47"/>
      <c r="D27" s="47"/>
      <c r="E27" s="47"/>
      <c r="F27" s="47"/>
      <c r="G27" s="47"/>
      <c r="H27" s="204">
        <v>26.0</v>
      </c>
      <c r="I27" s="47">
        <f t="shared" si="1"/>
        <v>65.16</v>
      </c>
      <c r="J27" s="47">
        <f t="shared" si="2"/>
        <v>103.6044</v>
      </c>
      <c r="K27" s="47"/>
      <c r="L27" s="47"/>
      <c r="M27" s="204">
        <v>26.0</v>
      </c>
      <c r="N27" s="47">
        <f t="shared" si="3"/>
        <v>14.59</v>
      </c>
      <c r="O27" s="47">
        <f t="shared" si="4"/>
        <v>57.9223</v>
      </c>
      <c r="P27" s="47"/>
      <c r="Q27" s="47"/>
      <c r="R27" s="204">
        <v>26.0</v>
      </c>
      <c r="S27" s="47">
        <f t="shared" si="5"/>
        <v>11.92</v>
      </c>
      <c r="T27" s="47">
        <f t="shared" si="6"/>
        <v>141.848</v>
      </c>
      <c r="U27" s="47"/>
      <c r="V27" s="47"/>
      <c r="W27" s="204">
        <v>26.0</v>
      </c>
      <c r="X27" s="47" t="str">
        <f t="shared" si="7"/>
        <v>#N/A</v>
      </c>
      <c r="Y27" s="47" t="str">
        <f t="shared" si="8"/>
        <v>#N/A</v>
      </c>
      <c r="Z27" s="47"/>
    </row>
    <row r="28">
      <c r="A28" s="47"/>
      <c r="B28" s="47"/>
      <c r="C28" s="47"/>
      <c r="D28" s="47"/>
      <c r="E28" s="47"/>
      <c r="F28" s="47"/>
      <c r="G28" s="47"/>
      <c r="H28" s="204">
        <v>27.0</v>
      </c>
      <c r="I28" s="47">
        <f t="shared" si="1"/>
        <v>66.33</v>
      </c>
      <c r="J28" s="47">
        <f t="shared" si="2"/>
        <v>105.4647</v>
      </c>
      <c r="K28" s="47"/>
      <c r="L28" s="47"/>
      <c r="M28" s="204">
        <v>27.0</v>
      </c>
      <c r="N28" s="47">
        <f t="shared" si="3"/>
        <v>14.87</v>
      </c>
      <c r="O28" s="47">
        <f t="shared" si="4"/>
        <v>59.0339</v>
      </c>
      <c r="P28" s="47"/>
      <c r="Q28" s="47"/>
      <c r="R28" s="204">
        <v>27.0</v>
      </c>
      <c r="S28" s="47">
        <f t="shared" si="5"/>
        <v>12.12</v>
      </c>
      <c r="T28" s="47">
        <f t="shared" si="6"/>
        <v>144.228</v>
      </c>
      <c r="U28" s="47"/>
      <c r="V28" s="47"/>
      <c r="W28" s="204">
        <v>27.0</v>
      </c>
      <c r="X28" s="47" t="str">
        <f t="shared" si="7"/>
        <v>#N/A</v>
      </c>
      <c r="Y28" s="47" t="str">
        <f t="shared" si="8"/>
        <v>#N/A</v>
      </c>
      <c r="Z28" s="47"/>
    </row>
    <row r="29">
      <c r="A29" s="47"/>
      <c r="B29" s="47"/>
      <c r="C29" s="47"/>
      <c r="D29" s="47"/>
      <c r="E29" s="47"/>
      <c r="F29" s="47"/>
      <c r="G29" s="47"/>
      <c r="H29" s="204">
        <v>28.0</v>
      </c>
      <c r="I29" s="47">
        <f t="shared" si="1"/>
        <v>67.5</v>
      </c>
      <c r="J29" s="47">
        <f t="shared" si="2"/>
        <v>107.325</v>
      </c>
      <c r="K29" s="47"/>
      <c r="L29" s="47"/>
      <c r="M29" s="204">
        <v>28.0</v>
      </c>
      <c r="N29" s="47">
        <f t="shared" si="3"/>
        <v>15.15</v>
      </c>
      <c r="O29" s="47">
        <f t="shared" si="4"/>
        <v>60.1455</v>
      </c>
      <c r="P29" s="47"/>
      <c r="Q29" s="47"/>
      <c r="R29" s="204">
        <v>28.0</v>
      </c>
      <c r="S29" s="47">
        <f t="shared" si="5"/>
        <v>12.32</v>
      </c>
      <c r="T29" s="47">
        <f t="shared" si="6"/>
        <v>146.608</v>
      </c>
      <c r="U29" s="47"/>
      <c r="V29" s="47"/>
      <c r="W29" s="204">
        <v>28.0</v>
      </c>
      <c r="X29" s="47" t="str">
        <f t="shared" si="7"/>
        <v>#N/A</v>
      </c>
      <c r="Y29" s="47" t="str">
        <f t="shared" si="8"/>
        <v>#N/A</v>
      </c>
      <c r="Z29" s="47"/>
    </row>
    <row r="30">
      <c r="A30" s="47"/>
      <c r="B30" s="47"/>
      <c r="C30" s="47"/>
      <c r="D30" s="47"/>
      <c r="E30" s="47"/>
      <c r="F30" s="47"/>
      <c r="G30" s="47"/>
      <c r="H30" s="204">
        <v>29.0</v>
      </c>
      <c r="I30" s="47">
        <f t="shared" si="1"/>
        <v>68.67</v>
      </c>
      <c r="J30" s="47">
        <f t="shared" si="2"/>
        <v>109.1853</v>
      </c>
      <c r="K30" s="47"/>
      <c r="L30" s="47"/>
      <c r="M30" s="204">
        <v>29.0</v>
      </c>
      <c r="N30" s="47">
        <f t="shared" si="3"/>
        <v>15.43</v>
      </c>
      <c r="O30" s="47">
        <f t="shared" si="4"/>
        <v>61.2571</v>
      </c>
      <c r="P30" s="47"/>
      <c r="Q30" s="47"/>
      <c r="R30" s="204">
        <v>29.0</v>
      </c>
      <c r="S30" s="47">
        <f t="shared" si="5"/>
        <v>12.52</v>
      </c>
      <c r="T30" s="47">
        <f t="shared" si="6"/>
        <v>148.988</v>
      </c>
      <c r="U30" s="47"/>
      <c r="V30" s="47"/>
      <c r="W30" s="204">
        <v>29.0</v>
      </c>
      <c r="X30" s="47" t="str">
        <f t="shared" si="7"/>
        <v>#N/A</v>
      </c>
      <c r="Y30" s="47" t="str">
        <f t="shared" si="8"/>
        <v>#N/A</v>
      </c>
      <c r="Z30" s="47"/>
    </row>
    <row r="31">
      <c r="A31" s="47"/>
      <c r="B31" s="47"/>
      <c r="C31" s="47"/>
      <c r="D31" s="47"/>
      <c r="E31" s="47"/>
      <c r="F31" s="47"/>
      <c r="G31" s="47"/>
      <c r="H31" s="204">
        <v>30.0</v>
      </c>
      <c r="I31" s="47">
        <f t="shared" si="1"/>
        <v>69.84</v>
      </c>
      <c r="J31" s="47">
        <f t="shared" si="2"/>
        <v>111.0456</v>
      </c>
      <c r="K31" s="47"/>
      <c r="L31" s="47"/>
      <c r="M31" s="204">
        <v>30.0</v>
      </c>
      <c r="N31" s="47">
        <f t="shared" si="3"/>
        <v>15.71</v>
      </c>
      <c r="O31" s="47">
        <f t="shared" si="4"/>
        <v>62.3687</v>
      </c>
      <c r="P31" s="47"/>
      <c r="Q31" s="47"/>
      <c r="R31" s="204">
        <v>30.0</v>
      </c>
      <c r="S31" s="47">
        <f t="shared" si="5"/>
        <v>12.72</v>
      </c>
      <c r="T31" s="47">
        <f t="shared" si="6"/>
        <v>151.368</v>
      </c>
      <c r="U31" s="47"/>
      <c r="V31" s="47"/>
      <c r="W31" s="204">
        <v>30.0</v>
      </c>
      <c r="X31" s="47" t="str">
        <f t="shared" si="7"/>
        <v>#N/A</v>
      </c>
      <c r="Y31" s="47" t="str">
        <f t="shared" si="8"/>
        <v>#N/A</v>
      </c>
      <c r="Z31" s="47"/>
    </row>
    <row r="32">
      <c r="A32" s="47"/>
      <c r="B32" s="47"/>
      <c r="C32" s="47"/>
      <c r="D32" s="47"/>
      <c r="E32" s="47"/>
      <c r="F32" s="47"/>
      <c r="G32" s="47"/>
      <c r="H32" s="204">
        <v>31.0</v>
      </c>
      <c r="I32" s="47">
        <f t="shared" si="1"/>
        <v>71.01</v>
      </c>
      <c r="J32" s="47">
        <f t="shared" si="2"/>
        <v>112.9059</v>
      </c>
      <c r="K32" s="47"/>
      <c r="L32" s="47"/>
      <c r="M32" s="204">
        <v>31.0</v>
      </c>
      <c r="N32" s="47">
        <f t="shared" si="3"/>
        <v>15.99</v>
      </c>
      <c r="O32" s="47">
        <f t="shared" si="4"/>
        <v>63.4803</v>
      </c>
      <c r="P32" s="47"/>
      <c r="Q32" s="47"/>
      <c r="R32" s="204">
        <v>31.0</v>
      </c>
      <c r="S32" s="47">
        <f t="shared" si="5"/>
        <v>12.92</v>
      </c>
      <c r="T32" s="47">
        <f t="shared" si="6"/>
        <v>153.748</v>
      </c>
      <c r="U32" s="47"/>
      <c r="V32" s="47"/>
      <c r="W32" s="204">
        <v>31.0</v>
      </c>
      <c r="X32" s="47" t="str">
        <f t="shared" si="7"/>
        <v>#N/A</v>
      </c>
      <c r="Y32" s="47" t="str">
        <f t="shared" si="8"/>
        <v>#N/A</v>
      </c>
      <c r="Z32" s="47"/>
    </row>
    <row r="33">
      <c r="A33" s="47"/>
      <c r="B33" s="47"/>
      <c r="C33" s="47"/>
      <c r="D33" s="47"/>
      <c r="E33" s="47"/>
      <c r="F33" s="47"/>
      <c r="G33" s="47"/>
      <c r="H33" s="204">
        <v>32.0</v>
      </c>
      <c r="I33" s="47">
        <f t="shared" si="1"/>
        <v>72.18</v>
      </c>
      <c r="J33" s="47">
        <f t="shared" si="2"/>
        <v>114.7662</v>
      </c>
      <c r="K33" s="47"/>
      <c r="L33" s="47"/>
      <c r="M33" s="204">
        <v>32.0</v>
      </c>
      <c r="N33" s="47">
        <f t="shared" si="3"/>
        <v>16.27</v>
      </c>
      <c r="O33" s="47">
        <f t="shared" si="4"/>
        <v>64.5919</v>
      </c>
      <c r="P33" s="47"/>
      <c r="Q33" s="47"/>
      <c r="R33" s="204">
        <v>32.0</v>
      </c>
      <c r="S33" s="47">
        <f t="shared" si="5"/>
        <v>13.12</v>
      </c>
      <c r="T33" s="47">
        <f t="shared" si="6"/>
        <v>156.128</v>
      </c>
      <c r="U33" s="47"/>
      <c r="V33" s="47"/>
      <c r="W33" s="204">
        <v>32.0</v>
      </c>
      <c r="X33" s="47" t="str">
        <f t="shared" si="7"/>
        <v>#N/A</v>
      </c>
      <c r="Y33" s="47" t="str">
        <f t="shared" si="8"/>
        <v>#N/A</v>
      </c>
      <c r="Z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7"/>
      <c r="B55" s="47"/>
      <c r="C55" s="47"/>
      <c r="D55" s="47"/>
      <c r="E55" s="47"/>
      <c r="F55" s="43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dataValidations>
    <dataValidation type="list" allowBlank="1" showErrorMessage="1" sqref="B2 B7 B12 B16">
      <formula1>Table1[Hero Name]</formula1>
    </dataValidation>
    <dataValidation type="decimal" operator="lessThan" allowBlank="1" showDropDown="1" showErrorMessage="1" sqref="B3 B8 B13 B17">
      <formula1>15.0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8" max="8" width="14.13"/>
    <col customWidth="1" min="9" max="9" width="11.63"/>
    <col customWidth="1" min="10" max="10" width="8.5"/>
    <col customWidth="1" min="11" max="11" width="7.13"/>
    <col customWidth="1" min="12" max="13" width="8.25"/>
    <col customWidth="1" min="14" max="14" width="7.75"/>
    <col customWidth="1" min="15" max="15" width="8.75"/>
    <col customWidth="1" min="16" max="16" width="8.13"/>
    <col customWidth="1" min="17" max="17" width="7.88"/>
    <col customWidth="1" min="18" max="18" width="6.75"/>
    <col customWidth="1" min="19" max="19" width="8.75"/>
    <col customWidth="1" min="20" max="20" width="7.88"/>
    <col customWidth="1" min="21" max="21" width="8.13"/>
    <col customWidth="1" min="22" max="22" width="6.0"/>
  </cols>
  <sheetData>
    <row r="1">
      <c r="A1" s="47"/>
      <c r="B1" s="47"/>
      <c r="C1" s="47"/>
      <c r="D1" s="47"/>
      <c r="E1" s="47"/>
      <c r="F1" s="47"/>
      <c r="G1" s="47"/>
      <c r="H1" s="43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</row>
    <row r="2">
      <c r="A2" s="230" t="s">
        <v>241</v>
      </c>
      <c r="B2" s="231"/>
      <c r="C2" s="47"/>
      <c r="D2" s="230" t="s">
        <v>242</v>
      </c>
      <c r="E2" s="231"/>
      <c r="F2" s="47"/>
      <c r="G2" s="47"/>
      <c r="H2" s="43"/>
      <c r="I2" s="43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>
      <c r="A3" s="232" t="s">
        <v>243</v>
      </c>
      <c r="B3" s="233" t="s">
        <v>244</v>
      </c>
      <c r="C3" s="47"/>
      <c r="D3" s="232" t="s">
        <v>245</v>
      </c>
      <c r="E3" s="233">
        <v>0.255</v>
      </c>
      <c r="F3" s="47"/>
      <c r="G3" s="47"/>
      <c r="H3" s="43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47"/>
      <c r="T3" s="47"/>
      <c r="U3" s="47"/>
      <c r="V3" s="47"/>
      <c r="W3" s="234"/>
      <c r="X3" s="32"/>
      <c r="Y3" s="235"/>
      <c r="Z3" s="56"/>
      <c r="AA3" s="235"/>
      <c r="AB3" s="235"/>
    </row>
    <row r="4">
      <c r="A4" s="232" t="s">
        <v>246</v>
      </c>
      <c r="B4" s="233">
        <v>0.017</v>
      </c>
      <c r="C4" s="47"/>
      <c r="D4" s="232" t="s">
        <v>247</v>
      </c>
      <c r="E4" s="233">
        <v>100.0</v>
      </c>
      <c r="F4" s="47"/>
      <c r="G4" s="47"/>
      <c r="H4" s="204"/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47"/>
      <c r="T4" s="47"/>
      <c r="U4" s="47"/>
      <c r="V4" s="47"/>
      <c r="W4" s="237"/>
      <c r="X4" s="238"/>
      <c r="Y4" s="239"/>
      <c r="Z4" s="237"/>
      <c r="AA4" s="238"/>
      <c r="AB4" s="239"/>
    </row>
    <row r="5">
      <c r="A5" s="232" t="s">
        <v>248</v>
      </c>
      <c r="B5" s="233">
        <v>0.014</v>
      </c>
      <c r="C5" s="47"/>
      <c r="D5" s="232" t="s">
        <v>249</v>
      </c>
      <c r="E5" s="233">
        <v>11.0</v>
      </c>
      <c r="F5" s="47"/>
      <c r="G5" s="47"/>
      <c r="H5" s="204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47"/>
      <c r="T5" s="47"/>
      <c r="U5" s="47"/>
      <c r="V5" s="47"/>
      <c r="W5" s="237"/>
      <c r="X5" s="238"/>
      <c r="Y5" s="239"/>
      <c r="Z5" s="237"/>
      <c r="AA5" s="238"/>
      <c r="AB5" s="239"/>
    </row>
    <row r="6">
      <c r="A6" s="232" t="s">
        <v>250</v>
      </c>
      <c r="B6" s="233">
        <v>1.5</v>
      </c>
      <c r="C6" s="47"/>
      <c r="D6" s="232" t="s">
        <v>251</v>
      </c>
      <c r="E6" s="240">
        <v>0.2</v>
      </c>
      <c r="F6" s="47"/>
      <c r="G6" s="47"/>
      <c r="H6" s="204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47"/>
      <c r="T6" s="47"/>
      <c r="U6" s="47"/>
      <c r="V6" s="47"/>
      <c r="W6" s="237"/>
      <c r="X6" s="238"/>
      <c r="Y6" s="239"/>
      <c r="Z6" s="237"/>
      <c r="AA6" s="238"/>
      <c r="AB6" s="239"/>
    </row>
    <row r="7">
      <c r="A7" s="232" t="s">
        <v>252</v>
      </c>
      <c r="B7" s="233">
        <v>3.5</v>
      </c>
      <c r="C7" s="47"/>
      <c r="D7" s="232" t="s">
        <v>253</v>
      </c>
      <c r="E7" s="240">
        <v>0.03</v>
      </c>
      <c r="F7" s="43" t="s">
        <v>254</v>
      </c>
      <c r="G7" s="47"/>
      <c r="H7" s="204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47"/>
      <c r="T7" s="47"/>
      <c r="U7" s="47"/>
      <c r="V7" s="47"/>
      <c r="W7" s="237"/>
      <c r="X7" s="238"/>
      <c r="Y7" s="239"/>
      <c r="Z7" s="237"/>
      <c r="AA7" s="238"/>
      <c r="AB7" s="239"/>
    </row>
    <row r="8">
      <c r="A8" s="232" t="s">
        <v>247</v>
      </c>
      <c r="B8" s="233">
        <v>10.0</v>
      </c>
      <c r="C8" s="47"/>
      <c r="D8" s="232" t="s">
        <v>255</v>
      </c>
      <c r="E8" s="233">
        <v>30.0</v>
      </c>
      <c r="F8" s="43" t="s">
        <v>256</v>
      </c>
      <c r="G8" s="47"/>
      <c r="H8" s="204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47"/>
      <c r="T8" s="47"/>
      <c r="U8" s="47"/>
      <c r="V8" s="47"/>
      <c r="W8" s="241"/>
      <c r="X8" s="241"/>
      <c r="Y8" s="237"/>
      <c r="Z8" s="237"/>
      <c r="AA8" s="238"/>
      <c r="AB8" s="239"/>
    </row>
    <row r="9">
      <c r="A9" s="232" t="s">
        <v>257</v>
      </c>
      <c r="B9" s="233">
        <v>0.2</v>
      </c>
      <c r="C9" s="47"/>
      <c r="D9" s="232" t="s">
        <v>258</v>
      </c>
      <c r="E9" s="242">
        <v>40.0</v>
      </c>
      <c r="F9" s="47"/>
      <c r="G9" s="47"/>
      <c r="H9" s="204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47"/>
      <c r="T9" s="47"/>
      <c r="U9" s="47"/>
      <c r="V9" s="47"/>
      <c r="W9" s="32"/>
      <c r="X9" s="32"/>
      <c r="Y9" s="237"/>
      <c r="Z9" s="237"/>
      <c r="AA9" s="238"/>
      <c r="AB9" s="239"/>
    </row>
    <row r="10">
      <c r="A10" s="232" t="s">
        <v>259</v>
      </c>
      <c r="B10" s="233">
        <v>7.0</v>
      </c>
      <c r="C10" s="43"/>
      <c r="D10" s="232" t="s">
        <v>260</v>
      </c>
      <c r="E10" s="233">
        <v>1.8</v>
      </c>
      <c r="F10" s="47"/>
      <c r="G10" s="47"/>
      <c r="H10" s="204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47"/>
      <c r="T10" s="47"/>
      <c r="U10" s="47"/>
      <c r="V10" s="47"/>
      <c r="W10" s="32"/>
      <c r="X10" s="32"/>
      <c r="Y10" s="237"/>
      <c r="Z10" s="237"/>
      <c r="AA10" s="238"/>
      <c r="AB10" s="239"/>
    </row>
    <row r="11">
      <c r="A11" s="232" t="s">
        <v>261</v>
      </c>
      <c r="B11" s="240">
        <v>0.03</v>
      </c>
      <c r="C11" s="43"/>
      <c r="D11" s="232" t="s">
        <v>262</v>
      </c>
      <c r="E11" s="243">
        <v>5.0</v>
      </c>
      <c r="F11" s="47"/>
      <c r="G11" s="47"/>
      <c r="H11" s="204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47"/>
      <c r="T11" s="47"/>
      <c r="U11" s="47"/>
      <c r="V11" s="47"/>
      <c r="W11" s="32"/>
      <c r="X11" s="32"/>
      <c r="Y11" s="32"/>
      <c r="Z11" s="47"/>
      <c r="AA11" s="238"/>
      <c r="AB11" s="47"/>
    </row>
    <row r="12">
      <c r="A12" s="232" t="s">
        <v>263</v>
      </c>
      <c r="B12" s="233" t="s">
        <v>264</v>
      </c>
      <c r="C12" s="47"/>
      <c r="D12" s="232" t="s">
        <v>265</v>
      </c>
      <c r="E12" s="240">
        <v>0.01</v>
      </c>
      <c r="F12" s="43" t="s">
        <v>266</v>
      </c>
      <c r="G12" s="47"/>
      <c r="H12" s="204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47"/>
      <c r="T12" s="47"/>
      <c r="U12" s="47"/>
      <c r="V12" s="47"/>
      <c r="W12" s="47"/>
      <c r="X12" s="47"/>
      <c r="Y12" s="47"/>
      <c r="Z12" s="47"/>
      <c r="AA12" s="47"/>
      <c r="AB12" s="47"/>
    </row>
    <row r="13">
      <c r="A13" s="47"/>
      <c r="B13" s="47"/>
      <c r="C13" s="47"/>
      <c r="D13" s="47"/>
      <c r="E13" s="47"/>
      <c r="F13" s="47"/>
      <c r="G13" s="47"/>
      <c r="H13" s="204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47"/>
      <c r="T13" s="47"/>
      <c r="U13" s="47"/>
      <c r="V13" s="47"/>
      <c r="W13" s="47"/>
      <c r="X13" s="47"/>
      <c r="Y13" s="47"/>
      <c r="Z13" s="47"/>
      <c r="AA13" s="47"/>
      <c r="AB13" s="47"/>
    </row>
    <row r="14">
      <c r="A14" s="230" t="s">
        <v>267</v>
      </c>
      <c r="B14" s="231"/>
      <c r="C14" s="47"/>
      <c r="D14" s="233" t="s">
        <v>231</v>
      </c>
      <c r="E14" s="43" t="s">
        <v>268</v>
      </c>
      <c r="F14" s="43" t="s">
        <v>269</v>
      </c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</row>
    <row r="15">
      <c r="A15" s="232" t="s">
        <v>270</v>
      </c>
      <c r="B15" s="43">
        <v>100.0</v>
      </c>
      <c r="C15" s="47"/>
      <c r="D15" s="233">
        <v>1.0</v>
      </c>
      <c r="E15" s="243">
        <f t="shared" ref="E15:E17" si="1">($E$5*D15+$E$4)/$E$3</f>
        <v>435.2941176</v>
      </c>
      <c r="F15" s="43">
        <v>435.0</v>
      </c>
      <c r="G15" s="47"/>
      <c r="H15" s="47"/>
      <c r="I15" s="43"/>
      <c r="T15" s="47"/>
      <c r="U15" s="47"/>
      <c r="V15" s="47"/>
      <c r="W15" s="47"/>
      <c r="X15" s="47"/>
      <c r="Y15" s="47"/>
      <c r="Z15" s="47"/>
      <c r="AA15" s="47"/>
      <c r="AB15" s="47"/>
    </row>
    <row r="16">
      <c r="A16" s="232" t="s">
        <v>271</v>
      </c>
      <c r="B16" s="43">
        <v>0.35</v>
      </c>
      <c r="C16" s="47"/>
      <c r="D16" s="233">
        <v>17.0</v>
      </c>
      <c r="E16" s="243">
        <f t="shared" si="1"/>
        <v>1125.490196</v>
      </c>
      <c r="F16" s="43">
        <v>800.0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</row>
    <row r="17">
      <c r="A17" s="232" t="s">
        <v>272</v>
      </c>
      <c r="B17" s="43">
        <v>4.0</v>
      </c>
      <c r="C17" s="47"/>
      <c r="D17" s="233">
        <v>35.0</v>
      </c>
      <c r="E17" s="243">
        <f t="shared" si="1"/>
        <v>1901.960784</v>
      </c>
      <c r="F17" s="43">
        <v>1400.0</v>
      </c>
      <c r="G17" s="47"/>
      <c r="H17" s="47"/>
      <c r="I17" s="43"/>
      <c r="J17" s="43"/>
      <c r="K17" s="43"/>
      <c r="L17" s="43"/>
      <c r="M17" s="43"/>
      <c r="N17" s="43"/>
      <c r="O17" s="43"/>
      <c r="P17" s="43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</row>
    <row r="18">
      <c r="A18" s="232" t="s">
        <v>273</v>
      </c>
      <c r="B18" s="43">
        <v>6.0</v>
      </c>
      <c r="C18" s="47"/>
      <c r="D18" s="47"/>
      <c r="E18" s="47"/>
      <c r="F18" s="47"/>
      <c r="G18" s="47"/>
      <c r="H18" s="47"/>
      <c r="I18" s="43"/>
      <c r="J18" s="43"/>
      <c r="K18" s="47"/>
      <c r="L18" s="244"/>
      <c r="M18" s="43"/>
      <c r="N18" s="47"/>
      <c r="O18" s="244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</row>
    <row r="19">
      <c r="A19" s="232" t="s">
        <v>274</v>
      </c>
      <c r="B19" s="43">
        <v>20.0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</row>
    <row r="20">
      <c r="A20" s="232" t="s">
        <v>275</v>
      </c>
      <c r="B20" s="43">
        <v>50.0</v>
      </c>
      <c r="C20" s="47"/>
      <c r="D20" s="47"/>
      <c r="E20" s="47"/>
      <c r="F20" s="47"/>
      <c r="G20" s="47"/>
      <c r="H20" s="43"/>
      <c r="I20" s="43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</row>
    <row r="21">
      <c r="A21" s="232" t="s">
        <v>276</v>
      </c>
      <c r="B21" s="245">
        <f>B19*B16</f>
        <v>7</v>
      </c>
      <c r="C21" s="43"/>
      <c r="D21" s="47"/>
      <c r="E21" s="47"/>
      <c r="F21" s="47"/>
      <c r="G21" s="47"/>
      <c r="H21" s="233"/>
      <c r="I21" s="43"/>
      <c r="J21" s="47"/>
      <c r="K21" s="47"/>
      <c r="L21" s="246"/>
      <c r="M21" s="247"/>
      <c r="N21" s="247"/>
      <c r="O21" s="247"/>
      <c r="P21" s="247"/>
      <c r="Q21" s="247"/>
      <c r="R21" s="247"/>
      <c r="S21" s="247"/>
      <c r="T21" s="247"/>
      <c r="U21" s="247"/>
      <c r="V21" s="49"/>
      <c r="W21" s="47"/>
      <c r="X21" s="47"/>
      <c r="Y21" s="47"/>
      <c r="Z21" s="47"/>
      <c r="AA21" s="47"/>
      <c r="AB21" s="47"/>
    </row>
    <row r="22">
      <c r="A22" s="232" t="s">
        <v>277</v>
      </c>
      <c r="B22" s="47">
        <f>B20*B16</f>
        <v>17.5</v>
      </c>
      <c r="C22" s="47"/>
      <c r="D22" s="47"/>
      <c r="E22" s="47"/>
      <c r="F22" s="47"/>
      <c r="G22" s="43"/>
      <c r="H22" s="233"/>
      <c r="I22" s="43"/>
      <c r="J22" s="47"/>
      <c r="K22" s="47"/>
      <c r="L22" s="60" t="s">
        <v>278</v>
      </c>
      <c r="M22" s="233" t="s">
        <v>279</v>
      </c>
      <c r="N22" s="233" t="s">
        <v>280</v>
      </c>
      <c r="O22" s="248" t="s">
        <v>281</v>
      </c>
      <c r="P22" s="233" t="s">
        <v>282</v>
      </c>
      <c r="Q22" s="248" t="s">
        <v>283</v>
      </c>
      <c r="R22" s="2"/>
      <c r="S22" s="43" t="s">
        <v>80</v>
      </c>
      <c r="T22" s="176" t="s">
        <v>284</v>
      </c>
      <c r="U22" s="43" t="s">
        <v>285</v>
      </c>
      <c r="V22" s="249"/>
      <c r="W22" s="47"/>
      <c r="X22" s="47"/>
      <c r="Y22" s="47"/>
      <c r="Z22" s="47"/>
      <c r="AA22" s="47"/>
      <c r="AB22" s="47"/>
    </row>
    <row r="23">
      <c r="A23" s="232" t="s">
        <v>286</v>
      </c>
      <c r="B23" s="250">
        <v>0.06</v>
      </c>
      <c r="C23" s="43"/>
      <c r="D23" s="47"/>
      <c r="E23" s="47"/>
      <c r="F23" s="47"/>
      <c r="G23" s="43"/>
      <c r="H23" s="233"/>
      <c r="I23" s="43"/>
      <c r="J23" s="47"/>
      <c r="K23" s="47"/>
      <c r="L23" s="251"/>
      <c r="M23" s="240">
        <v>0.15</v>
      </c>
      <c r="N23" s="233">
        <v>0.25</v>
      </c>
      <c r="O23" s="233">
        <v>40.0</v>
      </c>
      <c r="P23" s="240">
        <v>0.0</v>
      </c>
      <c r="Q23" s="168">
        <f>N23*(1-P23)</f>
        <v>0.25</v>
      </c>
      <c r="R23" s="2"/>
      <c r="S23" s="43">
        <v>10.6</v>
      </c>
      <c r="T23" s="250">
        <v>1.46</v>
      </c>
      <c r="U23" s="47">
        <f>S23*(1+T23)</f>
        <v>26.076</v>
      </c>
      <c r="V23" s="252"/>
      <c r="W23" s="47"/>
      <c r="X23" s="47"/>
      <c r="Y23" s="47"/>
      <c r="Z23" s="47"/>
      <c r="AA23" s="47"/>
      <c r="AB23" s="47"/>
    </row>
    <row r="24">
      <c r="A24" s="47"/>
      <c r="B24" s="47"/>
      <c r="C24" s="47"/>
      <c r="D24" s="47"/>
      <c r="E24" s="47"/>
      <c r="F24" s="47"/>
      <c r="G24" s="43"/>
      <c r="H24" s="233"/>
      <c r="I24" s="43"/>
      <c r="J24" s="47"/>
      <c r="K24" s="47"/>
      <c r="L24" s="253"/>
      <c r="M24" s="47"/>
      <c r="N24" s="47"/>
      <c r="O24" s="47"/>
      <c r="P24" s="47"/>
      <c r="Q24" s="47"/>
      <c r="R24" s="47"/>
      <c r="S24" s="47"/>
      <c r="T24" s="47"/>
      <c r="U24" s="47"/>
      <c r="V24" s="59"/>
      <c r="W24" s="47"/>
      <c r="X24" s="47"/>
      <c r="Y24" s="47"/>
      <c r="Z24" s="47"/>
      <c r="AA24" s="47"/>
      <c r="AB24" s="47"/>
    </row>
    <row r="25">
      <c r="A25" s="132" t="s">
        <v>287</v>
      </c>
      <c r="B25" s="47"/>
      <c r="C25" s="47"/>
      <c r="D25" s="47"/>
      <c r="E25" s="47"/>
      <c r="F25" s="47"/>
      <c r="G25" s="43"/>
      <c r="H25" s="233"/>
      <c r="I25" s="43"/>
      <c r="J25" s="47"/>
      <c r="K25" s="47"/>
      <c r="L25" s="253"/>
      <c r="M25" s="43" t="s">
        <v>288</v>
      </c>
      <c r="N25" s="47"/>
      <c r="O25" s="47"/>
      <c r="P25" s="47"/>
      <c r="Q25" s="47"/>
      <c r="R25" s="47"/>
      <c r="S25" s="47"/>
      <c r="T25" s="47"/>
      <c r="U25" s="47"/>
      <c r="V25" s="59"/>
      <c r="W25" s="47"/>
      <c r="X25" s="47"/>
      <c r="Y25" s="47"/>
      <c r="Z25" s="47"/>
      <c r="AA25" s="47"/>
      <c r="AB25" s="47"/>
    </row>
    <row r="26">
      <c r="A26" s="254" t="s">
        <v>289</v>
      </c>
      <c r="B26" s="255"/>
      <c r="C26" s="256"/>
      <c r="D26" s="257"/>
      <c r="E26" s="256"/>
      <c r="F26" s="258"/>
      <c r="G26" s="43"/>
      <c r="H26" s="233"/>
      <c r="I26" s="43"/>
      <c r="J26" s="259"/>
      <c r="K26" s="47"/>
      <c r="L26" s="253"/>
      <c r="M26" s="47">
        <f>(1/Q23)/M23</f>
        <v>26.66666667</v>
      </c>
      <c r="N26" s="47"/>
      <c r="O26" s="43"/>
      <c r="P26" s="47"/>
      <c r="Q26" s="47"/>
      <c r="R26" s="47"/>
      <c r="S26" s="47"/>
      <c r="T26" s="47"/>
      <c r="U26" s="47"/>
      <c r="V26" s="59"/>
      <c r="W26" s="47"/>
      <c r="X26" s="47"/>
      <c r="Y26" s="47"/>
      <c r="Z26" s="47"/>
      <c r="AA26" s="47"/>
      <c r="AB26" s="47"/>
    </row>
    <row r="27">
      <c r="A27" s="260">
        <v>0.4</v>
      </c>
      <c r="B27" s="261">
        <v>0.35</v>
      </c>
      <c r="C27" s="262">
        <v>0.3</v>
      </c>
      <c r="D27" s="263">
        <v>0.4</v>
      </c>
      <c r="E27" s="262">
        <v>0.45</v>
      </c>
      <c r="F27" s="264">
        <v>0.7</v>
      </c>
      <c r="G27" s="265"/>
      <c r="H27" s="265"/>
      <c r="I27" s="266"/>
      <c r="J27" s="233"/>
      <c r="K27" s="47"/>
      <c r="L27" s="253"/>
      <c r="M27" s="47"/>
      <c r="N27" s="47"/>
      <c r="O27" s="47"/>
      <c r="P27" s="43"/>
      <c r="Q27" s="47"/>
      <c r="R27" s="47"/>
      <c r="S27" s="47"/>
      <c r="T27" s="47"/>
      <c r="U27" s="47"/>
      <c r="V27" s="59"/>
      <c r="W27" s="47"/>
      <c r="X27" s="47"/>
      <c r="Y27" s="47"/>
      <c r="Z27" s="47"/>
      <c r="AA27" s="47"/>
      <c r="AB27" s="47"/>
    </row>
    <row r="28">
      <c r="A28" s="254" t="s">
        <v>290</v>
      </c>
      <c r="B28" s="267" t="s">
        <v>291</v>
      </c>
      <c r="C28" s="256"/>
      <c r="D28" s="257"/>
      <c r="E28" s="256"/>
      <c r="F28" s="258"/>
      <c r="G28" s="168"/>
      <c r="H28" s="168"/>
      <c r="I28" s="266"/>
      <c r="J28" s="233"/>
      <c r="K28" s="47"/>
      <c r="L28" s="60" t="s">
        <v>292</v>
      </c>
      <c r="M28" s="233" t="s">
        <v>279</v>
      </c>
      <c r="N28" s="233" t="s">
        <v>280</v>
      </c>
      <c r="O28" s="248" t="s">
        <v>281</v>
      </c>
      <c r="P28" s="233" t="s">
        <v>282</v>
      </c>
      <c r="Q28" s="248" t="s">
        <v>283</v>
      </c>
      <c r="R28" s="2"/>
      <c r="S28" s="43" t="s">
        <v>80</v>
      </c>
      <c r="T28" s="176" t="s">
        <v>284</v>
      </c>
      <c r="U28" s="43" t="s">
        <v>285</v>
      </c>
      <c r="V28" s="249"/>
      <c r="W28" s="47"/>
      <c r="X28" s="47"/>
      <c r="Y28" s="47"/>
      <c r="Z28" s="47"/>
      <c r="AA28" s="47"/>
      <c r="AB28" s="47"/>
    </row>
    <row r="29">
      <c r="A29" s="268">
        <f>1-(1-A27)*(1-B27)*(1-C27)*(1-D27)*(1-E27)*(1-F27)</f>
        <v>0.972973</v>
      </c>
      <c r="B29" s="269">
        <f>sum(A27:F27)</f>
        <v>2.6</v>
      </c>
      <c r="C29" s="270"/>
      <c r="D29" s="271"/>
      <c r="E29" s="270"/>
      <c r="F29" s="272"/>
      <c r="G29" s="168"/>
      <c r="H29" s="168"/>
      <c r="I29" s="266"/>
      <c r="J29" s="168"/>
      <c r="K29" s="47"/>
      <c r="L29" s="251"/>
      <c r="M29" s="240">
        <v>0.2</v>
      </c>
      <c r="N29" s="233">
        <v>0.25</v>
      </c>
      <c r="O29" s="233">
        <v>50.0</v>
      </c>
      <c r="P29" s="240">
        <v>0.0</v>
      </c>
      <c r="Q29" s="168">
        <f>N29*(1-P29)</f>
        <v>0.25</v>
      </c>
      <c r="R29" s="2"/>
      <c r="S29" s="43">
        <v>10.6</v>
      </c>
      <c r="T29" s="250">
        <v>1.46</v>
      </c>
      <c r="U29" s="47">
        <f>S29*(1+T29)</f>
        <v>26.076</v>
      </c>
      <c r="V29" s="252"/>
      <c r="W29" s="47"/>
      <c r="X29" s="47"/>
      <c r="Y29" s="47"/>
      <c r="Z29" s="47"/>
      <c r="AA29" s="47"/>
      <c r="AB29" s="47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253"/>
      <c r="M30" s="47"/>
      <c r="N30" s="47"/>
      <c r="O30" s="47"/>
      <c r="P30" s="47"/>
      <c r="Q30" s="47"/>
      <c r="R30" s="47"/>
      <c r="S30" s="47"/>
      <c r="T30" s="47"/>
      <c r="U30" s="47"/>
      <c r="V30" s="59"/>
      <c r="W30" s="47"/>
      <c r="X30" s="47"/>
      <c r="Y30" s="47"/>
      <c r="Z30" s="47"/>
      <c r="AA30" s="47"/>
      <c r="AB30" s="47"/>
    </row>
    <row r="31">
      <c r="A31" s="43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253"/>
      <c r="M31" s="43" t="s">
        <v>288</v>
      </c>
      <c r="N31" s="47"/>
      <c r="O31" s="47"/>
      <c r="P31" s="47"/>
      <c r="Q31" s="47"/>
      <c r="R31" s="47"/>
      <c r="S31" s="47"/>
      <c r="T31" s="47"/>
      <c r="U31" s="47"/>
      <c r="V31" s="59"/>
      <c r="W31" s="47"/>
      <c r="X31" s="47"/>
      <c r="Y31" s="47"/>
      <c r="Z31" s="47"/>
      <c r="AA31" s="47"/>
      <c r="AB31" s="47"/>
    </row>
    <row r="32">
      <c r="A32" s="43"/>
      <c r="B32" s="43"/>
      <c r="C32" s="43"/>
      <c r="D32" s="47"/>
      <c r="E32" s="43"/>
      <c r="F32" s="43"/>
      <c r="G32" s="47"/>
      <c r="H32" s="47"/>
      <c r="I32" s="47"/>
      <c r="J32" s="47"/>
      <c r="K32" s="47"/>
      <c r="L32" s="253"/>
      <c r="M32" s="47">
        <f>(1/Q29)/M29</f>
        <v>20</v>
      </c>
      <c r="N32" s="47"/>
      <c r="O32" s="43"/>
      <c r="P32" s="47"/>
      <c r="Q32" s="47"/>
      <c r="R32" s="47"/>
      <c r="S32" s="47"/>
      <c r="T32" s="47"/>
      <c r="U32" s="47"/>
      <c r="V32" s="59"/>
      <c r="W32" s="47"/>
      <c r="X32" s="47"/>
      <c r="Y32" s="47"/>
      <c r="Z32" s="47"/>
      <c r="AA32" s="47"/>
      <c r="AB32" s="47"/>
    </row>
    <row r="33">
      <c r="A33" s="43"/>
      <c r="B33" s="43"/>
      <c r="C33" s="43"/>
      <c r="D33" s="47"/>
      <c r="E33" s="43"/>
      <c r="F33" s="43"/>
      <c r="G33" s="47"/>
      <c r="H33" s="43"/>
      <c r="I33" s="43"/>
      <c r="J33" s="47"/>
      <c r="K33" s="47"/>
      <c r="L33" s="273"/>
      <c r="M33" s="274"/>
      <c r="N33" s="274"/>
      <c r="O33" s="274"/>
      <c r="P33" s="274"/>
      <c r="Q33" s="274"/>
      <c r="R33" s="274"/>
      <c r="S33" s="274"/>
      <c r="T33" s="274"/>
      <c r="U33" s="274"/>
      <c r="V33" s="67"/>
      <c r="W33" s="47"/>
      <c r="X33" s="47"/>
      <c r="Y33" s="47"/>
      <c r="Z33" s="47"/>
      <c r="AA33" s="47"/>
      <c r="AB33" s="47"/>
    </row>
    <row r="34">
      <c r="A34" s="43"/>
      <c r="B34" s="43"/>
      <c r="C34" s="184"/>
      <c r="D34" s="47"/>
      <c r="E34" s="43"/>
      <c r="F34" s="184"/>
      <c r="G34" s="47"/>
      <c r="H34" s="184"/>
      <c r="I34" s="184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</row>
    <row r="35">
      <c r="A35" s="43"/>
      <c r="B35" s="43"/>
      <c r="C35" s="184"/>
      <c r="D35" s="47"/>
      <c r="E35" s="43"/>
      <c r="F35" s="184"/>
      <c r="G35" s="47"/>
      <c r="H35" s="184"/>
      <c r="I35" s="184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</row>
    <row r="36" ht="15.0" customHeight="1">
      <c r="A36" s="43"/>
      <c r="B36" s="43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</row>
    <row r="37" ht="25.5" customHeight="1">
      <c r="A37" s="47"/>
      <c r="B37" s="47"/>
      <c r="C37" s="47"/>
      <c r="D37" s="47"/>
      <c r="E37" s="2"/>
      <c r="F37" s="43"/>
      <c r="G37" s="43" t="s">
        <v>293</v>
      </c>
      <c r="H37" s="47"/>
      <c r="I37" s="47"/>
      <c r="J37" s="47"/>
      <c r="K37" s="47"/>
      <c r="L37" s="233"/>
      <c r="M37" s="233"/>
      <c r="N37" s="233"/>
      <c r="O37" s="248"/>
      <c r="P37" s="233"/>
      <c r="Q37" s="248"/>
      <c r="R37" s="2"/>
      <c r="S37" s="43"/>
      <c r="T37" s="176"/>
      <c r="U37" s="43"/>
      <c r="V37" s="176"/>
      <c r="W37" s="43"/>
      <c r="X37" s="47"/>
      <c r="Y37" s="47"/>
      <c r="Z37" s="47"/>
      <c r="AA37" s="47"/>
      <c r="AB37" s="47"/>
    </row>
    <row r="38">
      <c r="A38" s="233" t="s">
        <v>294</v>
      </c>
      <c r="B38" s="233" t="s">
        <v>295</v>
      </c>
      <c r="C38" s="43" t="s">
        <v>296</v>
      </c>
      <c r="D38" s="43" t="s">
        <v>108</v>
      </c>
      <c r="E38" s="275" t="s">
        <v>297</v>
      </c>
      <c r="F38" s="45" t="s">
        <v>298</v>
      </c>
      <c r="G38" s="276" t="s">
        <v>295</v>
      </c>
      <c r="H38" s="45" t="s">
        <v>296</v>
      </c>
      <c r="I38" s="45" t="s">
        <v>299</v>
      </c>
      <c r="J38" s="45" t="s">
        <v>300</v>
      </c>
      <c r="K38" s="46" t="s">
        <v>108</v>
      </c>
      <c r="L38" s="168"/>
      <c r="M38" s="240"/>
      <c r="N38" s="233"/>
      <c r="O38" s="233"/>
      <c r="P38" s="240"/>
      <c r="Q38" s="168"/>
      <c r="R38" s="2"/>
      <c r="S38" s="43"/>
      <c r="T38" s="250"/>
      <c r="U38" s="47"/>
      <c r="V38" s="250"/>
      <c r="W38" s="47"/>
      <c r="X38" s="47"/>
      <c r="Y38" s="47"/>
      <c r="Z38" s="47"/>
      <c r="AA38" s="47"/>
      <c r="AB38" s="47"/>
    </row>
    <row r="39">
      <c r="A39" s="233">
        <v>0.2</v>
      </c>
      <c r="B39" s="233">
        <v>7.77</v>
      </c>
      <c r="C39" s="250">
        <v>0.0</v>
      </c>
      <c r="D39" s="250">
        <v>0.0</v>
      </c>
      <c r="E39" s="277">
        <v>1.0</v>
      </c>
      <c r="F39" s="47">
        <f t="shared" ref="F39:F118" si="2">E39*$A$39</f>
        <v>0.2</v>
      </c>
      <c r="G39" s="47">
        <f t="shared" ref="G39:G118" si="3">$B$39</f>
        <v>7.77</v>
      </c>
      <c r="H39" s="47">
        <f t="shared" ref="H39:H118" si="4">G39+G39*$C$39</f>
        <v>7.77</v>
      </c>
      <c r="I39" s="47">
        <f t="shared" ref="I39:I118" si="5">H39+F39</f>
        <v>7.97</v>
      </c>
      <c r="J39" s="47">
        <f t="shared" ref="J39:J118" si="6">$C$42*I39</f>
        <v>87.67</v>
      </c>
      <c r="K39" s="70">
        <f t="shared" ref="K39:K118" si="7">J39*(1+$D$39)</f>
        <v>87.67</v>
      </c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</row>
    <row r="40">
      <c r="A40" s="43"/>
      <c r="B40" s="47"/>
      <c r="C40" s="47"/>
      <c r="D40" s="47"/>
      <c r="E40" s="277">
        <v>2.0</v>
      </c>
      <c r="F40" s="47">
        <f t="shared" si="2"/>
        <v>0.4</v>
      </c>
      <c r="G40" s="47">
        <f t="shared" si="3"/>
        <v>7.77</v>
      </c>
      <c r="H40" s="47">
        <f t="shared" si="4"/>
        <v>7.77</v>
      </c>
      <c r="I40" s="47">
        <f t="shared" si="5"/>
        <v>8.17</v>
      </c>
      <c r="J40" s="47">
        <f t="shared" si="6"/>
        <v>89.87</v>
      </c>
      <c r="K40" s="70">
        <f t="shared" si="7"/>
        <v>89.87</v>
      </c>
      <c r="L40" s="47"/>
      <c r="M40" s="43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</row>
    <row r="41">
      <c r="A41" s="233" t="s">
        <v>80</v>
      </c>
      <c r="B41" s="43" t="s">
        <v>301</v>
      </c>
      <c r="C41" s="43" t="s">
        <v>302</v>
      </c>
      <c r="D41" s="43" t="s">
        <v>303</v>
      </c>
      <c r="E41" s="277">
        <v>3.0</v>
      </c>
      <c r="F41" s="47">
        <f t="shared" si="2"/>
        <v>0.6</v>
      </c>
      <c r="G41" s="47">
        <f t="shared" si="3"/>
        <v>7.77</v>
      </c>
      <c r="H41" s="47">
        <f t="shared" si="4"/>
        <v>7.77</v>
      </c>
      <c r="I41" s="47">
        <f t="shared" si="5"/>
        <v>8.37</v>
      </c>
      <c r="J41" s="47">
        <f t="shared" si="6"/>
        <v>92.07</v>
      </c>
      <c r="K41" s="70">
        <f t="shared" si="7"/>
        <v>92.07</v>
      </c>
      <c r="L41" s="47"/>
      <c r="M41" s="47"/>
      <c r="N41" s="47"/>
      <c r="O41" s="43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</row>
    <row r="42">
      <c r="A42" s="233">
        <v>10.0</v>
      </c>
      <c r="B42" s="250">
        <v>0.1</v>
      </c>
      <c r="C42" s="47">
        <f>A42+A42*B42</f>
        <v>11</v>
      </c>
      <c r="D42" s="278">
        <f>80/C42</f>
        <v>7.272727273</v>
      </c>
      <c r="E42" s="277">
        <v>4.0</v>
      </c>
      <c r="F42" s="47">
        <f t="shared" si="2"/>
        <v>0.8</v>
      </c>
      <c r="G42" s="47">
        <f t="shared" si="3"/>
        <v>7.77</v>
      </c>
      <c r="H42" s="47">
        <f t="shared" si="4"/>
        <v>7.77</v>
      </c>
      <c r="I42" s="47">
        <f t="shared" si="5"/>
        <v>8.57</v>
      </c>
      <c r="J42" s="47">
        <f t="shared" si="6"/>
        <v>94.27</v>
      </c>
      <c r="K42" s="70">
        <f t="shared" si="7"/>
        <v>94.27</v>
      </c>
      <c r="L42" s="47"/>
      <c r="M42" s="47"/>
      <c r="N42" s="47"/>
      <c r="O42" s="47"/>
      <c r="P42" s="43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</row>
    <row r="43">
      <c r="A43" s="47"/>
      <c r="B43" s="47"/>
      <c r="C43" s="47"/>
      <c r="D43" s="47"/>
      <c r="E43" s="277">
        <v>5.0</v>
      </c>
      <c r="F43" s="47">
        <f t="shared" si="2"/>
        <v>1</v>
      </c>
      <c r="G43" s="47">
        <f t="shared" si="3"/>
        <v>7.77</v>
      </c>
      <c r="H43" s="47">
        <f t="shared" si="4"/>
        <v>7.77</v>
      </c>
      <c r="I43" s="47">
        <f t="shared" si="5"/>
        <v>8.77</v>
      </c>
      <c r="J43" s="47">
        <f t="shared" si="6"/>
        <v>96.47</v>
      </c>
      <c r="K43" s="70">
        <f t="shared" si="7"/>
        <v>96.47</v>
      </c>
      <c r="L43" s="233"/>
      <c r="M43" s="233"/>
      <c r="N43" s="233"/>
      <c r="O43" s="248"/>
      <c r="P43" s="233"/>
      <c r="Q43" s="248"/>
      <c r="R43" s="2"/>
      <c r="S43" s="43"/>
      <c r="T43" s="176"/>
      <c r="U43" s="43"/>
      <c r="V43" s="176"/>
      <c r="W43" s="43"/>
      <c r="X43" s="47"/>
      <c r="Y43" s="47"/>
      <c r="Z43" s="47"/>
      <c r="AA43" s="47"/>
      <c r="AB43" s="47"/>
    </row>
    <row r="44">
      <c r="A44" s="279" t="s">
        <v>304</v>
      </c>
      <c r="B44" s="279" t="s">
        <v>305</v>
      </c>
      <c r="C44" s="280" t="s">
        <v>306</v>
      </c>
      <c r="D44" s="280" t="s">
        <v>307</v>
      </c>
      <c r="E44" s="277">
        <v>6.0</v>
      </c>
      <c r="F44" s="47">
        <f t="shared" si="2"/>
        <v>1.2</v>
      </c>
      <c r="G44" s="47">
        <f t="shared" si="3"/>
        <v>7.77</v>
      </c>
      <c r="H44" s="47">
        <f t="shared" si="4"/>
        <v>7.77</v>
      </c>
      <c r="I44" s="47">
        <f t="shared" si="5"/>
        <v>8.97</v>
      </c>
      <c r="J44" s="47">
        <f t="shared" si="6"/>
        <v>98.67</v>
      </c>
      <c r="K44" s="70">
        <f t="shared" si="7"/>
        <v>98.67</v>
      </c>
      <c r="L44" s="168"/>
      <c r="M44" s="240"/>
      <c r="N44" s="233"/>
      <c r="O44" s="233"/>
      <c r="P44" s="240"/>
      <c r="Q44" s="168"/>
      <c r="R44" s="2"/>
      <c r="S44" s="43"/>
      <c r="T44" s="250"/>
      <c r="U44" s="47"/>
      <c r="V44" s="250"/>
      <c r="W44" s="47"/>
      <c r="X44" s="47"/>
      <c r="Y44" s="47"/>
      <c r="Z44" s="47"/>
      <c r="AA44" s="47"/>
      <c r="AB44" s="47"/>
    </row>
    <row r="45">
      <c r="A45" s="281">
        <v>1.0</v>
      </c>
      <c r="B45" s="282">
        <v>1.0</v>
      </c>
      <c r="C45" s="47">
        <f t="shared" ref="C45:C50" si="8">$B$53*B45/A45</f>
        <v>480</v>
      </c>
      <c r="D45" s="47">
        <f t="shared" ref="D45:D50" si="9">C45*A45</f>
        <v>480</v>
      </c>
      <c r="E45" s="277">
        <v>7.0</v>
      </c>
      <c r="F45" s="47">
        <f t="shared" si="2"/>
        <v>1.4</v>
      </c>
      <c r="G45" s="47">
        <f t="shared" si="3"/>
        <v>7.77</v>
      </c>
      <c r="H45" s="47">
        <f t="shared" si="4"/>
        <v>7.77</v>
      </c>
      <c r="I45" s="47">
        <f t="shared" si="5"/>
        <v>9.17</v>
      </c>
      <c r="J45" s="47">
        <f t="shared" si="6"/>
        <v>100.87</v>
      </c>
      <c r="K45" s="70">
        <f t="shared" si="7"/>
        <v>100.87</v>
      </c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</row>
    <row r="46">
      <c r="A46" s="281">
        <v>2.0</v>
      </c>
      <c r="B46" s="282">
        <v>1.3</v>
      </c>
      <c r="C46" s="47">
        <f t="shared" si="8"/>
        <v>312</v>
      </c>
      <c r="D46" s="47">
        <f t="shared" si="9"/>
        <v>624</v>
      </c>
      <c r="E46" s="277">
        <v>8.0</v>
      </c>
      <c r="F46" s="47">
        <f t="shared" si="2"/>
        <v>1.6</v>
      </c>
      <c r="G46" s="47">
        <f t="shared" si="3"/>
        <v>7.77</v>
      </c>
      <c r="H46" s="47">
        <f t="shared" si="4"/>
        <v>7.77</v>
      </c>
      <c r="I46" s="47">
        <f t="shared" si="5"/>
        <v>9.37</v>
      </c>
      <c r="J46" s="47">
        <f t="shared" si="6"/>
        <v>103.07</v>
      </c>
      <c r="K46" s="70">
        <f t="shared" si="7"/>
        <v>103.07</v>
      </c>
      <c r="L46" s="47"/>
      <c r="M46" s="43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</row>
    <row r="47">
      <c r="A47" s="281">
        <v>3.0</v>
      </c>
      <c r="B47" s="282">
        <v>0.9</v>
      </c>
      <c r="C47" s="47">
        <f t="shared" si="8"/>
        <v>144</v>
      </c>
      <c r="D47" s="47">
        <f t="shared" si="9"/>
        <v>432</v>
      </c>
      <c r="E47" s="277">
        <v>9.0</v>
      </c>
      <c r="F47" s="47">
        <f t="shared" si="2"/>
        <v>1.8</v>
      </c>
      <c r="G47" s="47">
        <f t="shared" si="3"/>
        <v>7.77</v>
      </c>
      <c r="H47" s="47">
        <f t="shared" si="4"/>
        <v>7.77</v>
      </c>
      <c r="I47" s="47">
        <f t="shared" si="5"/>
        <v>9.57</v>
      </c>
      <c r="J47" s="47">
        <f t="shared" si="6"/>
        <v>105.27</v>
      </c>
      <c r="K47" s="70">
        <f t="shared" si="7"/>
        <v>105.27</v>
      </c>
      <c r="L47" s="47"/>
      <c r="M47" s="47"/>
      <c r="N47" s="47"/>
      <c r="O47" s="43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</row>
    <row r="48">
      <c r="A48" s="281">
        <v>4.0</v>
      </c>
      <c r="B48" s="282">
        <v>0.8</v>
      </c>
      <c r="C48" s="47">
        <f t="shared" si="8"/>
        <v>96</v>
      </c>
      <c r="D48" s="47">
        <f t="shared" si="9"/>
        <v>384</v>
      </c>
      <c r="E48" s="277">
        <v>10.0</v>
      </c>
      <c r="F48" s="47">
        <f t="shared" si="2"/>
        <v>2</v>
      </c>
      <c r="G48" s="47">
        <f t="shared" si="3"/>
        <v>7.77</v>
      </c>
      <c r="H48" s="47">
        <f t="shared" si="4"/>
        <v>7.77</v>
      </c>
      <c r="I48" s="47">
        <f t="shared" si="5"/>
        <v>9.77</v>
      </c>
      <c r="J48" s="47">
        <f t="shared" si="6"/>
        <v>107.47</v>
      </c>
      <c r="K48" s="70">
        <f t="shared" si="7"/>
        <v>107.47</v>
      </c>
      <c r="L48" s="47"/>
      <c r="M48" s="47"/>
      <c r="N48" s="47"/>
      <c r="O48" s="250"/>
      <c r="P48" s="283"/>
      <c r="Q48" s="283"/>
      <c r="R48" s="283"/>
      <c r="S48" s="283"/>
      <c r="T48" s="283"/>
      <c r="U48" s="283"/>
      <c r="V48" s="283"/>
      <c r="W48" s="283"/>
      <c r="X48" s="47"/>
      <c r="Y48" s="47"/>
      <c r="Z48" s="47"/>
      <c r="AA48" s="47"/>
      <c r="AB48" s="47"/>
    </row>
    <row r="49">
      <c r="A49" s="281">
        <v>5.0</v>
      </c>
      <c r="B49" s="282">
        <v>0.75</v>
      </c>
      <c r="C49" s="47">
        <f t="shared" si="8"/>
        <v>72</v>
      </c>
      <c r="D49" s="47">
        <f t="shared" si="9"/>
        <v>360</v>
      </c>
      <c r="E49" s="277">
        <v>11.0</v>
      </c>
      <c r="F49" s="47">
        <f t="shared" si="2"/>
        <v>2.2</v>
      </c>
      <c r="G49" s="47">
        <f t="shared" si="3"/>
        <v>7.77</v>
      </c>
      <c r="H49" s="47">
        <f t="shared" si="4"/>
        <v>7.77</v>
      </c>
      <c r="I49" s="47">
        <f t="shared" si="5"/>
        <v>9.97</v>
      </c>
      <c r="J49" s="47">
        <f t="shared" si="6"/>
        <v>109.67</v>
      </c>
      <c r="K49" s="70">
        <f t="shared" si="7"/>
        <v>109.67</v>
      </c>
      <c r="L49" s="47"/>
      <c r="M49" s="47"/>
      <c r="N49" s="47"/>
      <c r="O49" s="250"/>
      <c r="P49" s="283"/>
      <c r="Q49" s="283"/>
      <c r="R49" s="283"/>
      <c r="S49" s="283"/>
      <c r="T49" s="283"/>
      <c r="U49" s="283"/>
      <c r="V49" s="283"/>
      <c r="W49" s="283"/>
      <c r="X49" s="47"/>
      <c r="Y49" s="47"/>
      <c r="Z49" s="47"/>
      <c r="AA49" s="47"/>
      <c r="AB49" s="47"/>
    </row>
    <row r="50">
      <c r="A50" s="284">
        <v>6.0</v>
      </c>
      <c r="B50" s="285">
        <v>0.66</v>
      </c>
      <c r="C50" s="85">
        <f t="shared" si="8"/>
        <v>52.8</v>
      </c>
      <c r="D50" s="286">
        <f t="shared" si="9"/>
        <v>316.8</v>
      </c>
      <c r="E50" s="277">
        <v>12.0</v>
      </c>
      <c r="F50" s="47">
        <f t="shared" si="2"/>
        <v>2.4</v>
      </c>
      <c r="G50" s="47">
        <f t="shared" si="3"/>
        <v>7.77</v>
      </c>
      <c r="H50" s="47">
        <f t="shared" si="4"/>
        <v>7.77</v>
      </c>
      <c r="I50" s="47">
        <f t="shared" si="5"/>
        <v>10.17</v>
      </c>
      <c r="J50" s="47">
        <f t="shared" si="6"/>
        <v>111.87</v>
      </c>
      <c r="K50" s="70">
        <f t="shared" si="7"/>
        <v>111.87</v>
      </c>
      <c r="L50" s="47"/>
      <c r="M50" s="47"/>
      <c r="N50" s="47"/>
      <c r="O50" s="250"/>
      <c r="P50" s="283"/>
      <c r="Q50" s="283"/>
      <c r="R50" s="283"/>
      <c r="S50" s="283"/>
      <c r="T50" s="283"/>
      <c r="U50" s="283"/>
      <c r="V50" s="283"/>
      <c r="W50" s="283"/>
      <c r="X50" s="47"/>
      <c r="Y50" s="47"/>
      <c r="Z50" s="47"/>
      <c r="AA50" s="47"/>
      <c r="AB50" s="47"/>
    </row>
    <row r="51">
      <c r="A51" s="47"/>
      <c r="B51" s="43"/>
      <c r="C51" s="43" t="s">
        <v>308</v>
      </c>
      <c r="D51" s="43" t="s">
        <v>309</v>
      </c>
      <c r="E51" s="277">
        <v>13.0</v>
      </c>
      <c r="F51" s="47">
        <f t="shared" si="2"/>
        <v>2.6</v>
      </c>
      <c r="G51" s="47">
        <f t="shared" si="3"/>
        <v>7.77</v>
      </c>
      <c r="H51" s="47">
        <f t="shared" si="4"/>
        <v>7.77</v>
      </c>
      <c r="I51" s="47">
        <f t="shared" si="5"/>
        <v>10.37</v>
      </c>
      <c r="J51" s="47">
        <f t="shared" si="6"/>
        <v>114.07</v>
      </c>
      <c r="K51" s="70">
        <f t="shared" si="7"/>
        <v>114.07</v>
      </c>
      <c r="L51" s="47"/>
      <c r="M51" s="47"/>
      <c r="N51" s="47"/>
      <c r="O51" s="250"/>
      <c r="P51" s="283"/>
      <c r="Q51" s="283"/>
      <c r="R51" s="283"/>
      <c r="S51" s="283"/>
      <c r="T51" s="283"/>
      <c r="U51" s="283"/>
      <c r="V51" s="283"/>
      <c r="W51" s="283"/>
      <c r="X51" s="47"/>
      <c r="Y51" s="47"/>
      <c r="Z51" s="47"/>
      <c r="AA51" s="47"/>
      <c r="AB51" s="47"/>
    </row>
    <row r="52">
      <c r="A52" s="43" t="s">
        <v>310</v>
      </c>
      <c r="B52" s="43">
        <v>120.0</v>
      </c>
      <c r="C52" s="47">
        <f t="shared" ref="C52:D52" si="10">B52+1.5*10</f>
        <v>135</v>
      </c>
      <c r="D52" s="47">
        <f t="shared" si="10"/>
        <v>150</v>
      </c>
      <c r="E52" s="277">
        <v>14.0</v>
      </c>
      <c r="F52" s="47">
        <f t="shared" si="2"/>
        <v>2.8</v>
      </c>
      <c r="G52" s="47">
        <f t="shared" si="3"/>
        <v>7.77</v>
      </c>
      <c r="H52" s="47">
        <f t="shared" si="4"/>
        <v>7.77</v>
      </c>
      <c r="I52" s="47">
        <f t="shared" si="5"/>
        <v>10.57</v>
      </c>
      <c r="J52" s="47">
        <f t="shared" si="6"/>
        <v>116.27</v>
      </c>
      <c r="K52" s="70">
        <f t="shared" si="7"/>
        <v>116.27</v>
      </c>
      <c r="L52" s="47"/>
      <c r="M52" s="47"/>
      <c r="N52" s="47"/>
      <c r="O52" s="250"/>
      <c r="P52" s="283"/>
      <c r="Q52" s="283"/>
      <c r="R52" s="283"/>
      <c r="S52" s="283"/>
      <c r="T52" s="283"/>
      <c r="U52" s="283"/>
      <c r="V52" s="283"/>
      <c r="W52" s="283"/>
      <c r="X52" s="47"/>
      <c r="Y52" s="47"/>
      <c r="Z52" s="47"/>
      <c r="AA52" s="47"/>
      <c r="AB52" s="47"/>
    </row>
    <row r="53">
      <c r="A53" s="43" t="s">
        <v>311</v>
      </c>
      <c r="B53" s="47">
        <f t="shared" ref="B53:D53" si="11">B52*4</f>
        <v>480</v>
      </c>
      <c r="C53" s="47">
        <f t="shared" si="11"/>
        <v>540</v>
      </c>
      <c r="D53" s="47">
        <f t="shared" si="11"/>
        <v>600</v>
      </c>
      <c r="E53" s="277">
        <v>15.0</v>
      </c>
      <c r="F53" s="47">
        <f t="shared" si="2"/>
        <v>3</v>
      </c>
      <c r="G53" s="47">
        <f t="shared" si="3"/>
        <v>7.77</v>
      </c>
      <c r="H53" s="47">
        <f t="shared" si="4"/>
        <v>7.77</v>
      </c>
      <c r="I53" s="47">
        <f t="shared" si="5"/>
        <v>10.77</v>
      </c>
      <c r="J53" s="47">
        <f t="shared" si="6"/>
        <v>118.47</v>
      </c>
      <c r="K53" s="70">
        <f t="shared" si="7"/>
        <v>118.47</v>
      </c>
      <c r="L53" s="47"/>
      <c r="M53" s="47"/>
      <c r="N53" s="47"/>
      <c r="O53" s="250"/>
      <c r="P53" s="283"/>
      <c r="Q53" s="283"/>
      <c r="R53" s="283"/>
      <c r="S53" s="283"/>
      <c r="T53" s="283"/>
      <c r="U53" s="283"/>
      <c r="V53" s="283"/>
      <c r="W53" s="283"/>
      <c r="X53" s="47"/>
      <c r="Y53" s="47"/>
      <c r="Z53" s="47"/>
      <c r="AA53" s="47"/>
      <c r="AB53" s="47"/>
    </row>
    <row r="54">
      <c r="A54" s="47"/>
      <c r="B54" s="47"/>
      <c r="C54" s="47"/>
      <c r="D54" s="47"/>
      <c r="E54" s="277">
        <v>16.0</v>
      </c>
      <c r="F54" s="47">
        <f t="shared" si="2"/>
        <v>3.2</v>
      </c>
      <c r="G54" s="47">
        <f t="shared" si="3"/>
        <v>7.77</v>
      </c>
      <c r="H54" s="47">
        <f t="shared" si="4"/>
        <v>7.77</v>
      </c>
      <c r="I54" s="47">
        <f t="shared" si="5"/>
        <v>10.97</v>
      </c>
      <c r="J54" s="47">
        <f t="shared" si="6"/>
        <v>120.67</v>
      </c>
      <c r="K54" s="70">
        <f t="shared" si="7"/>
        <v>120.67</v>
      </c>
      <c r="L54" s="47"/>
      <c r="M54" s="47"/>
      <c r="N54" s="47"/>
      <c r="O54" s="250"/>
      <c r="P54" s="283"/>
      <c r="Q54" s="283"/>
      <c r="R54" s="283"/>
      <c r="S54" s="283"/>
      <c r="T54" s="283"/>
      <c r="U54" s="283"/>
      <c r="V54" s="283"/>
      <c r="W54" s="283"/>
      <c r="X54" s="47"/>
      <c r="Y54" s="47"/>
      <c r="Z54" s="47"/>
      <c r="AA54" s="47"/>
      <c r="AB54" s="47"/>
    </row>
    <row r="55">
      <c r="A55" s="47"/>
      <c r="B55" s="47"/>
      <c r="C55" s="47"/>
      <c r="D55" s="47"/>
      <c r="E55" s="277">
        <v>17.0</v>
      </c>
      <c r="F55" s="47">
        <f t="shared" si="2"/>
        <v>3.4</v>
      </c>
      <c r="G55" s="47">
        <f t="shared" si="3"/>
        <v>7.77</v>
      </c>
      <c r="H55" s="47">
        <f t="shared" si="4"/>
        <v>7.77</v>
      </c>
      <c r="I55" s="47">
        <f t="shared" si="5"/>
        <v>11.17</v>
      </c>
      <c r="J55" s="47">
        <f t="shared" si="6"/>
        <v>122.87</v>
      </c>
      <c r="K55" s="70">
        <f t="shared" si="7"/>
        <v>122.87</v>
      </c>
      <c r="L55" s="47"/>
      <c r="M55" s="43"/>
      <c r="N55" s="47"/>
      <c r="O55" s="56"/>
      <c r="P55" s="47"/>
      <c r="Q55" s="43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</row>
    <row r="56">
      <c r="A56" s="43" t="s">
        <v>312</v>
      </c>
      <c r="B56" s="47"/>
      <c r="C56" s="43" t="s">
        <v>312</v>
      </c>
      <c r="D56" s="47"/>
      <c r="E56" s="277">
        <v>18.0</v>
      </c>
      <c r="F56" s="47">
        <f t="shared" si="2"/>
        <v>3.6</v>
      </c>
      <c r="G56" s="47">
        <f t="shared" si="3"/>
        <v>7.77</v>
      </c>
      <c r="H56" s="47">
        <f t="shared" si="4"/>
        <v>7.77</v>
      </c>
      <c r="I56" s="47">
        <f t="shared" si="5"/>
        <v>11.37</v>
      </c>
      <c r="J56" s="47">
        <f t="shared" si="6"/>
        <v>125.07</v>
      </c>
      <c r="K56" s="70">
        <f t="shared" si="7"/>
        <v>125.07</v>
      </c>
      <c r="L56" s="47"/>
      <c r="M56" s="287"/>
      <c r="N56" s="287"/>
      <c r="O56" s="287"/>
      <c r="P56" s="287"/>
      <c r="Q56" s="288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</row>
    <row r="57">
      <c r="A57" s="43" t="s">
        <v>313</v>
      </c>
      <c r="B57" s="43" t="s">
        <v>314</v>
      </c>
      <c r="C57" s="43" t="s">
        <v>313</v>
      </c>
      <c r="D57" s="43" t="s">
        <v>314</v>
      </c>
      <c r="E57" s="277">
        <v>19.0</v>
      </c>
      <c r="F57" s="47">
        <f t="shared" si="2"/>
        <v>3.8</v>
      </c>
      <c r="G57" s="47">
        <f t="shared" si="3"/>
        <v>7.77</v>
      </c>
      <c r="H57" s="47">
        <f t="shared" si="4"/>
        <v>7.77</v>
      </c>
      <c r="I57" s="47">
        <f t="shared" si="5"/>
        <v>11.57</v>
      </c>
      <c r="J57" s="47">
        <f t="shared" si="6"/>
        <v>127.27</v>
      </c>
      <c r="K57" s="70">
        <f t="shared" si="7"/>
        <v>127.27</v>
      </c>
      <c r="L57" s="47"/>
      <c r="M57" s="287"/>
      <c r="N57" s="287"/>
      <c r="O57" s="287"/>
      <c r="P57" s="28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</row>
    <row r="58">
      <c r="A58" s="43">
        <v>1.0</v>
      </c>
      <c r="B58" s="289">
        <v>250.0</v>
      </c>
      <c r="C58" s="43">
        <v>1.0</v>
      </c>
      <c r="D58" s="289">
        <v>300.0</v>
      </c>
      <c r="E58" s="277">
        <v>20.0</v>
      </c>
      <c r="F58" s="47">
        <f t="shared" si="2"/>
        <v>4</v>
      </c>
      <c r="G58" s="47">
        <f t="shared" si="3"/>
        <v>7.77</v>
      </c>
      <c r="H58" s="47">
        <f t="shared" si="4"/>
        <v>7.77</v>
      </c>
      <c r="I58" s="47">
        <f t="shared" si="5"/>
        <v>11.77</v>
      </c>
      <c r="J58" s="47">
        <f t="shared" si="6"/>
        <v>129.47</v>
      </c>
      <c r="K58" s="70">
        <f t="shared" si="7"/>
        <v>129.47</v>
      </c>
      <c r="L58" s="47"/>
      <c r="M58" s="287"/>
      <c r="N58" s="287"/>
      <c r="O58" s="287"/>
      <c r="P58" s="28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</row>
    <row r="59">
      <c r="A59" s="43">
        <v>2.0</v>
      </c>
      <c r="B59" s="289">
        <v>297.56</v>
      </c>
      <c r="C59" s="43">
        <v>2.0</v>
      </c>
      <c r="D59" s="289">
        <v>342.5</v>
      </c>
      <c r="E59" s="277">
        <v>21.0</v>
      </c>
      <c r="F59" s="47">
        <f t="shared" si="2"/>
        <v>4.2</v>
      </c>
      <c r="G59" s="47">
        <f t="shared" si="3"/>
        <v>7.77</v>
      </c>
      <c r="H59" s="47">
        <f t="shared" si="4"/>
        <v>7.77</v>
      </c>
      <c r="I59" s="47">
        <f t="shared" si="5"/>
        <v>11.97</v>
      </c>
      <c r="J59" s="47">
        <f t="shared" si="6"/>
        <v>131.67</v>
      </c>
      <c r="K59" s="70">
        <f t="shared" si="7"/>
        <v>131.67</v>
      </c>
      <c r="L59" s="47"/>
      <c r="M59" s="287"/>
      <c r="N59" s="287"/>
      <c r="O59" s="287"/>
      <c r="P59" s="28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</row>
    <row r="60">
      <c r="A60" s="43">
        <v>3.0</v>
      </c>
      <c r="B60" s="289">
        <v>345.12</v>
      </c>
      <c r="C60" s="43">
        <v>3.0</v>
      </c>
      <c r="D60" s="289">
        <v>385.0</v>
      </c>
      <c r="E60" s="277">
        <v>22.0</v>
      </c>
      <c r="F60" s="47">
        <f t="shared" si="2"/>
        <v>4.4</v>
      </c>
      <c r="G60" s="47">
        <f t="shared" si="3"/>
        <v>7.77</v>
      </c>
      <c r="H60" s="47">
        <f t="shared" si="4"/>
        <v>7.77</v>
      </c>
      <c r="I60" s="47">
        <f t="shared" si="5"/>
        <v>12.17</v>
      </c>
      <c r="J60" s="47">
        <f t="shared" si="6"/>
        <v>133.87</v>
      </c>
      <c r="K60" s="70">
        <f t="shared" si="7"/>
        <v>133.87</v>
      </c>
      <c r="L60" s="47"/>
      <c r="M60" s="287"/>
      <c r="N60" s="287"/>
      <c r="O60" s="287"/>
      <c r="P60" s="28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</row>
    <row r="61">
      <c r="A61" s="43">
        <v>4.0</v>
      </c>
      <c r="B61" s="289">
        <v>392.68</v>
      </c>
      <c r="C61" s="43">
        <v>4.0</v>
      </c>
      <c r="D61" s="289">
        <v>427.5</v>
      </c>
      <c r="E61" s="277">
        <v>23.0</v>
      </c>
      <c r="F61" s="47">
        <f t="shared" si="2"/>
        <v>4.6</v>
      </c>
      <c r="G61" s="47">
        <f t="shared" si="3"/>
        <v>7.77</v>
      </c>
      <c r="H61" s="47">
        <f t="shared" si="4"/>
        <v>7.77</v>
      </c>
      <c r="I61" s="47">
        <f t="shared" si="5"/>
        <v>12.37</v>
      </c>
      <c r="J61" s="47">
        <f t="shared" si="6"/>
        <v>136.07</v>
      </c>
      <c r="K61" s="70">
        <f t="shared" si="7"/>
        <v>136.07</v>
      </c>
      <c r="L61" s="47"/>
      <c r="M61" s="287"/>
      <c r="N61" s="287"/>
      <c r="O61" s="287"/>
      <c r="P61" s="28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</row>
    <row r="62">
      <c r="A62" s="43">
        <v>5.0</v>
      </c>
      <c r="B62" s="289">
        <v>440.24</v>
      </c>
      <c r="C62" s="43">
        <v>5.0</v>
      </c>
      <c r="D62" s="289">
        <v>470.0</v>
      </c>
      <c r="E62" s="277">
        <v>24.0</v>
      </c>
      <c r="F62" s="47">
        <f t="shared" si="2"/>
        <v>4.8</v>
      </c>
      <c r="G62" s="47">
        <f t="shared" si="3"/>
        <v>7.77</v>
      </c>
      <c r="H62" s="47">
        <f t="shared" si="4"/>
        <v>7.77</v>
      </c>
      <c r="I62" s="47">
        <f t="shared" si="5"/>
        <v>12.57</v>
      </c>
      <c r="J62" s="47">
        <f t="shared" si="6"/>
        <v>138.27</v>
      </c>
      <c r="K62" s="70">
        <f t="shared" si="7"/>
        <v>138.27</v>
      </c>
      <c r="L62" s="47"/>
      <c r="M62" s="287"/>
      <c r="N62" s="287"/>
      <c r="O62" s="287"/>
      <c r="P62" s="28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</row>
    <row r="63">
      <c r="A63" s="43">
        <v>6.0</v>
      </c>
      <c r="B63" s="289">
        <v>487.800000000001</v>
      </c>
      <c r="C63" s="43">
        <v>6.0</v>
      </c>
      <c r="D63" s="289">
        <v>512.5</v>
      </c>
      <c r="E63" s="277">
        <v>25.0</v>
      </c>
      <c r="F63" s="47">
        <f t="shared" si="2"/>
        <v>5</v>
      </c>
      <c r="G63" s="47">
        <f t="shared" si="3"/>
        <v>7.77</v>
      </c>
      <c r="H63" s="47">
        <f t="shared" si="4"/>
        <v>7.77</v>
      </c>
      <c r="I63" s="47">
        <f t="shared" si="5"/>
        <v>12.77</v>
      </c>
      <c r="J63" s="47">
        <f t="shared" si="6"/>
        <v>140.47</v>
      </c>
      <c r="K63" s="70">
        <f t="shared" si="7"/>
        <v>140.47</v>
      </c>
      <c r="L63" s="47"/>
      <c r="M63" s="287"/>
      <c r="N63" s="287"/>
      <c r="O63" s="287"/>
      <c r="P63" s="28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</row>
    <row r="64">
      <c r="A64" s="43">
        <v>7.0</v>
      </c>
      <c r="B64" s="289">
        <v>535.360000000001</v>
      </c>
      <c r="C64" s="43">
        <v>7.0</v>
      </c>
      <c r="D64" s="289">
        <v>555.0</v>
      </c>
      <c r="E64" s="277">
        <v>26.0</v>
      </c>
      <c r="F64" s="47">
        <f t="shared" si="2"/>
        <v>5.2</v>
      </c>
      <c r="G64" s="47">
        <f t="shared" si="3"/>
        <v>7.77</v>
      </c>
      <c r="H64" s="47">
        <f t="shared" si="4"/>
        <v>7.77</v>
      </c>
      <c r="I64" s="47">
        <f t="shared" si="5"/>
        <v>12.97</v>
      </c>
      <c r="J64" s="47">
        <f t="shared" si="6"/>
        <v>142.67</v>
      </c>
      <c r="K64" s="70">
        <f t="shared" si="7"/>
        <v>142.67</v>
      </c>
      <c r="L64" s="47"/>
      <c r="M64" s="287"/>
      <c r="N64" s="287"/>
      <c r="O64" s="287"/>
      <c r="P64" s="28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</row>
    <row r="65">
      <c r="A65" s="43">
        <v>8.0</v>
      </c>
      <c r="B65" s="289">
        <v>582.920000000001</v>
      </c>
      <c r="C65" s="43">
        <v>8.0</v>
      </c>
      <c r="D65" s="289">
        <v>597.5</v>
      </c>
      <c r="E65" s="277">
        <v>27.0</v>
      </c>
      <c r="F65" s="47">
        <f t="shared" si="2"/>
        <v>5.4</v>
      </c>
      <c r="G65" s="47">
        <f t="shared" si="3"/>
        <v>7.77</v>
      </c>
      <c r="H65" s="47">
        <f t="shared" si="4"/>
        <v>7.77</v>
      </c>
      <c r="I65" s="47">
        <f t="shared" si="5"/>
        <v>13.17</v>
      </c>
      <c r="J65" s="47">
        <f t="shared" si="6"/>
        <v>144.87</v>
      </c>
      <c r="K65" s="70">
        <f t="shared" si="7"/>
        <v>144.87</v>
      </c>
      <c r="L65" s="47"/>
      <c r="M65" s="287"/>
      <c r="N65" s="287"/>
      <c r="O65" s="287"/>
      <c r="P65" s="28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</row>
    <row r="66">
      <c r="A66" s="43">
        <v>9.0</v>
      </c>
      <c r="B66" s="289">
        <v>630.480000000001</v>
      </c>
      <c r="C66" s="43">
        <v>9.0</v>
      </c>
      <c r="D66" s="289">
        <v>640.0</v>
      </c>
      <c r="E66" s="277">
        <v>28.0</v>
      </c>
      <c r="F66" s="47">
        <f t="shared" si="2"/>
        <v>5.6</v>
      </c>
      <c r="G66" s="47">
        <f t="shared" si="3"/>
        <v>7.77</v>
      </c>
      <c r="H66" s="47">
        <f t="shared" si="4"/>
        <v>7.77</v>
      </c>
      <c r="I66" s="47">
        <f t="shared" si="5"/>
        <v>13.37</v>
      </c>
      <c r="J66" s="47">
        <f t="shared" si="6"/>
        <v>147.07</v>
      </c>
      <c r="K66" s="70">
        <f t="shared" si="7"/>
        <v>147.07</v>
      </c>
      <c r="L66" s="47"/>
      <c r="M66" s="28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</row>
    <row r="67">
      <c r="A67" s="43">
        <v>10.0</v>
      </c>
      <c r="B67" s="289">
        <v>678.040000000001</v>
      </c>
      <c r="C67" s="43">
        <v>10.0</v>
      </c>
      <c r="D67" s="289">
        <v>682.5</v>
      </c>
      <c r="E67" s="277">
        <v>29.0</v>
      </c>
      <c r="F67" s="47">
        <f t="shared" si="2"/>
        <v>5.8</v>
      </c>
      <c r="G67" s="47">
        <f t="shared" si="3"/>
        <v>7.77</v>
      </c>
      <c r="H67" s="47">
        <f t="shared" si="4"/>
        <v>7.77</v>
      </c>
      <c r="I67" s="47">
        <f t="shared" si="5"/>
        <v>13.57</v>
      </c>
      <c r="J67" s="47">
        <f t="shared" si="6"/>
        <v>149.27</v>
      </c>
      <c r="K67" s="70">
        <f t="shared" si="7"/>
        <v>149.27</v>
      </c>
      <c r="L67" s="47"/>
      <c r="M67" s="28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</row>
    <row r="68">
      <c r="A68" s="43">
        <v>11.0</v>
      </c>
      <c r="B68" s="289">
        <v>725.600000000001</v>
      </c>
      <c r="C68" s="43">
        <v>11.0</v>
      </c>
      <c r="D68" s="289">
        <v>725.0</v>
      </c>
      <c r="E68" s="277">
        <v>30.0</v>
      </c>
      <c r="F68" s="47">
        <f t="shared" si="2"/>
        <v>6</v>
      </c>
      <c r="G68" s="47">
        <f t="shared" si="3"/>
        <v>7.77</v>
      </c>
      <c r="H68" s="47">
        <f t="shared" si="4"/>
        <v>7.77</v>
      </c>
      <c r="I68" s="47">
        <f t="shared" si="5"/>
        <v>13.77</v>
      </c>
      <c r="J68" s="47">
        <f t="shared" si="6"/>
        <v>151.47</v>
      </c>
      <c r="K68" s="70">
        <f t="shared" si="7"/>
        <v>151.47</v>
      </c>
      <c r="L68" s="47"/>
      <c r="M68" s="28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</row>
    <row r="69">
      <c r="A69" s="43">
        <v>12.0</v>
      </c>
      <c r="B69" s="289">
        <v>773.160000000001</v>
      </c>
      <c r="C69" s="43">
        <v>12.0</v>
      </c>
      <c r="D69" s="289">
        <v>767.5</v>
      </c>
      <c r="E69" s="277">
        <v>31.0</v>
      </c>
      <c r="F69" s="47">
        <f t="shared" si="2"/>
        <v>6.2</v>
      </c>
      <c r="G69" s="47">
        <f t="shared" si="3"/>
        <v>7.77</v>
      </c>
      <c r="H69" s="47">
        <f t="shared" si="4"/>
        <v>7.77</v>
      </c>
      <c r="I69" s="47">
        <f t="shared" si="5"/>
        <v>13.97</v>
      </c>
      <c r="J69" s="47">
        <f t="shared" si="6"/>
        <v>153.67</v>
      </c>
      <c r="K69" s="70">
        <f t="shared" si="7"/>
        <v>153.67</v>
      </c>
      <c r="L69" s="47"/>
      <c r="M69" s="28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</row>
    <row r="70">
      <c r="A70" s="43">
        <v>13.0</v>
      </c>
      <c r="B70" s="289">
        <v>820.720000000001</v>
      </c>
      <c r="C70" s="43">
        <v>13.0</v>
      </c>
      <c r="D70" s="289">
        <v>810.0</v>
      </c>
      <c r="E70" s="277">
        <v>32.0</v>
      </c>
      <c r="F70" s="47">
        <f t="shared" si="2"/>
        <v>6.4</v>
      </c>
      <c r="G70" s="47">
        <f t="shared" si="3"/>
        <v>7.77</v>
      </c>
      <c r="H70" s="47">
        <f t="shared" si="4"/>
        <v>7.77</v>
      </c>
      <c r="I70" s="47">
        <f t="shared" si="5"/>
        <v>14.17</v>
      </c>
      <c r="J70" s="47">
        <f t="shared" si="6"/>
        <v>155.87</v>
      </c>
      <c r="K70" s="70">
        <f t="shared" si="7"/>
        <v>155.87</v>
      </c>
      <c r="L70" s="47"/>
      <c r="M70" s="28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</row>
    <row r="71">
      <c r="A71" s="43">
        <v>14.0</v>
      </c>
      <c r="B71" s="289">
        <v>868.280000000001</v>
      </c>
      <c r="C71" s="43">
        <v>14.0</v>
      </c>
      <c r="D71" s="289">
        <v>852.5</v>
      </c>
      <c r="E71" s="277">
        <v>33.0</v>
      </c>
      <c r="F71" s="47">
        <f t="shared" si="2"/>
        <v>6.6</v>
      </c>
      <c r="G71" s="47">
        <f t="shared" si="3"/>
        <v>7.77</v>
      </c>
      <c r="H71" s="47">
        <f t="shared" si="4"/>
        <v>7.77</v>
      </c>
      <c r="I71" s="47">
        <f t="shared" si="5"/>
        <v>14.37</v>
      </c>
      <c r="J71" s="47">
        <f t="shared" si="6"/>
        <v>158.07</v>
      </c>
      <c r="K71" s="70">
        <f t="shared" si="7"/>
        <v>158.07</v>
      </c>
      <c r="L71" s="47"/>
      <c r="M71" s="28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</row>
    <row r="72">
      <c r="A72" s="43">
        <v>15.0</v>
      </c>
      <c r="B72" s="289">
        <v>915.840000000001</v>
      </c>
      <c r="C72" s="43">
        <v>15.0</v>
      </c>
      <c r="D72" s="289">
        <v>895.0</v>
      </c>
      <c r="E72" s="277">
        <v>34.0</v>
      </c>
      <c r="F72" s="47">
        <f t="shared" si="2"/>
        <v>6.8</v>
      </c>
      <c r="G72" s="47">
        <f t="shared" si="3"/>
        <v>7.77</v>
      </c>
      <c r="H72" s="47">
        <f t="shared" si="4"/>
        <v>7.77</v>
      </c>
      <c r="I72" s="47">
        <f t="shared" si="5"/>
        <v>14.57</v>
      </c>
      <c r="J72" s="47">
        <f t="shared" si="6"/>
        <v>160.27</v>
      </c>
      <c r="K72" s="70">
        <f t="shared" si="7"/>
        <v>160.27</v>
      </c>
      <c r="L72" s="47"/>
      <c r="M72" s="28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</row>
    <row r="73">
      <c r="A73" s="43">
        <v>16.0</v>
      </c>
      <c r="B73" s="289">
        <v>963.400000000002</v>
      </c>
      <c r="C73" s="43">
        <v>16.0</v>
      </c>
      <c r="D73" s="289">
        <v>937.5</v>
      </c>
      <c r="E73" s="277">
        <v>35.0</v>
      </c>
      <c r="F73" s="47">
        <f t="shared" si="2"/>
        <v>7</v>
      </c>
      <c r="G73" s="47">
        <f t="shared" si="3"/>
        <v>7.77</v>
      </c>
      <c r="H73" s="47">
        <f t="shared" si="4"/>
        <v>7.77</v>
      </c>
      <c r="I73" s="47">
        <f t="shared" si="5"/>
        <v>14.77</v>
      </c>
      <c r="J73" s="47">
        <f t="shared" si="6"/>
        <v>162.47</v>
      </c>
      <c r="K73" s="70">
        <f t="shared" si="7"/>
        <v>162.47</v>
      </c>
      <c r="L73" s="47"/>
      <c r="M73" s="28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</row>
    <row r="74">
      <c r="A74" s="43">
        <v>17.0</v>
      </c>
      <c r="B74" s="289">
        <v>1010.96</v>
      </c>
      <c r="C74" s="43">
        <v>17.0</v>
      </c>
      <c r="D74" s="289">
        <v>980.0</v>
      </c>
      <c r="E74" s="277">
        <v>36.0</v>
      </c>
      <c r="F74" s="47">
        <f t="shared" si="2"/>
        <v>7.2</v>
      </c>
      <c r="G74" s="47">
        <f t="shared" si="3"/>
        <v>7.77</v>
      </c>
      <c r="H74" s="47">
        <f t="shared" si="4"/>
        <v>7.77</v>
      </c>
      <c r="I74" s="47">
        <f t="shared" si="5"/>
        <v>14.97</v>
      </c>
      <c r="J74" s="47">
        <f t="shared" si="6"/>
        <v>164.67</v>
      </c>
      <c r="K74" s="70">
        <f t="shared" si="7"/>
        <v>164.67</v>
      </c>
      <c r="L74" s="47"/>
      <c r="M74" s="28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</row>
    <row r="75">
      <c r="A75" s="43">
        <v>18.0</v>
      </c>
      <c r="B75" s="289">
        <v>1058.52</v>
      </c>
      <c r="C75" s="43">
        <v>18.0</v>
      </c>
      <c r="D75" s="289">
        <v>1022.5</v>
      </c>
      <c r="E75" s="277">
        <v>37.0</v>
      </c>
      <c r="F75" s="47">
        <f t="shared" si="2"/>
        <v>7.4</v>
      </c>
      <c r="G75" s="47">
        <f t="shared" si="3"/>
        <v>7.77</v>
      </c>
      <c r="H75" s="47">
        <f t="shared" si="4"/>
        <v>7.77</v>
      </c>
      <c r="I75" s="47">
        <f t="shared" si="5"/>
        <v>15.17</v>
      </c>
      <c r="J75" s="47">
        <f t="shared" si="6"/>
        <v>166.87</v>
      </c>
      <c r="K75" s="70">
        <f t="shared" si="7"/>
        <v>166.87</v>
      </c>
      <c r="L75" s="47"/>
      <c r="M75" s="28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</row>
    <row r="76">
      <c r="A76" s="43">
        <v>19.0</v>
      </c>
      <c r="B76" s="289">
        <v>1106.08</v>
      </c>
      <c r="C76" s="43">
        <v>19.0</v>
      </c>
      <c r="D76" s="289">
        <v>1065.0</v>
      </c>
      <c r="E76" s="277">
        <v>38.0</v>
      </c>
      <c r="F76" s="47">
        <f t="shared" si="2"/>
        <v>7.6</v>
      </c>
      <c r="G76" s="47">
        <f t="shared" si="3"/>
        <v>7.77</v>
      </c>
      <c r="H76" s="47">
        <f t="shared" si="4"/>
        <v>7.77</v>
      </c>
      <c r="I76" s="47">
        <f t="shared" si="5"/>
        <v>15.37</v>
      </c>
      <c r="J76" s="47">
        <f t="shared" si="6"/>
        <v>169.07</v>
      </c>
      <c r="K76" s="70">
        <f t="shared" si="7"/>
        <v>169.07</v>
      </c>
      <c r="L76" s="47"/>
      <c r="M76" s="28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</row>
    <row r="77">
      <c r="A77" s="43">
        <v>20.0</v>
      </c>
      <c r="B77" s="289">
        <v>1153.64</v>
      </c>
      <c r="C77" s="43">
        <v>20.0</v>
      </c>
      <c r="D77" s="289">
        <v>1107.5</v>
      </c>
      <c r="E77" s="277">
        <v>39.0</v>
      </c>
      <c r="F77" s="47">
        <f t="shared" si="2"/>
        <v>7.8</v>
      </c>
      <c r="G77" s="47">
        <f t="shared" si="3"/>
        <v>7.77</v>
      </c>
      <c r="H77" s="47">
        <f t="shared" si="4"/>
        <v>7.77</v>
      </c>
      <c r="I77" s="47">
        <f t="shared" si="5"/>
        <v>15.57</v>
      </c>
      <c r="J77" s="47">
        <f t="shared" si="6"/>
        <v>171.27</v>
      </c>
      <c r="K77" s="70">
        <f t="shared" si="7"/>
        <v>171.27</v>
      </c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</row>
    <row r="78">
      <c r="A78" s="43">
        <v>21.0</v>
      </c>
      <c r="B78" s="289">
        <v>1201.2</v>
      </c>
      <c r="C78" s="43">
        <v>21.0</v>
      </c>
      <c r="D78" s="289">
        <v>1150.0</v>
      </c>
      <c r="E78" s="277">
        <v>40.0</v>
      </c>
      <c r="F78" s="47">
        <f t="shared" si="2"/>
        <v>8</v>
      </c>
      <c r="G78" s="47">
        <f t="shared" si="3"/>
        <v>7.77</v>
      </c>
      <c r="H78" s="47">
        <f t="shared" si="4"/>
        <v>7.77</v>
      </c>
      <c r="I78" s="47">
        <f t="shared" si="5"/>
        <v>15.77</v>
      </c>
      <c r="J78" s="47">
        <f t="shared" si="6"/>
        <v>173.47</v>
      </c>
      <c r="K78" s="70">
        <f t="shared" si="7"/>
        <v>173.47</v>
      </c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</row>
    <row r="79">
      <c r="A79" s="289">
        <v>20.0</v>
      </c>
      <c r="B79" s="289">
        <v>1248.76</v>
      </c>
      <c r="C79" s="289">
        <v>20.0</v>
      </c>
      <c r="D79" s="289">
        <v>1107.5</v>
      </c>
      <c r="E79" s="277">
        <v>41.0</v>
      </c>
      <c r="F79" s="47">
        <f t="shared" si="2"/>
        <v>8.2</v>
      </c>
      <c r="G79" s="47">
        <f t="shared" si="3"/>
        <v>7.77</v>
      </c>
      <c r="H79" s="47">
        <f t="shared" si="4"/>
        <v>7.77</v>
      </c>
      <c r="I79" s="47">
        <f t="shared" si="5"/>
        <v>15.97</v>
      </c>
      <c r="J79" s="47">
        <f t="shared" si="6"/>
        <v>175.67</v>
      </c>
      <c r="K79" s="70">
        <f t="shared" si="7"/>
        <v>175.67</v>
      </c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</row>
    <row r="80">
      <c r="A80" s="289">
        <v>21.0</v>
      </c>
      <c r="B80" s="289">
        <v>1296.32</v>
      </c>
      <c r="C80" s="289">
        <v>21.0</v>
      </c>
      <c r="D80" s="289">
        <v>1150.0</v>
      </c>
      <c r="E80" s="277">
        <v>42.0</v>
      </c>
      <c r="F80" s="47">
        <f t="shared" si="2"/>
        <v>8.4</v>
      </c>
      <c r="G80" s="47">
        <f t="shared" si="3"/>
        <v>7.77</v>
      </c>
      <c r="H80" s="47">
        <f t="shared" si="4"/>
        <v>7.77</v>
      </c>
      <c r="I80" s="47">
        <f t="shared" si="5"/>
        <v>16.17</v>
      </c>
      <c r="J80" s="47">
        <f t="shared" si="6"/>
        <v>177.87</v>
      </c>
      <c r="K80" s="70">
        <f t="shared" si="7"/>
        <v>177.87</v>
      </c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</row>
    <row r="81">
      <c r="A81" s="289">
        <v>22.0</v>
      </c>
      <c r="B81" s="289">
        <v>1343.88</v>
      </c>
      <c r="C81" s="289">
        <v>22.0</v>
      </c>
      <c r="D81" s="289">
        <v>1192.5</v>
      </c>
      <c r="E81" s="277">
        <v>43.0</v>
      </c>
      <c r="F81" s="47">
        <f t="shared" si="2"/>
        <v>8.6</v>
      </c>
      <c r="G81" s="47">
        <f t="shared" si="3"/>
        <v>7.77</v>
      </c>
      <c r="H81" s="47">
        <f t="shared" si="4"/>
        <v>7.77</v>
      </c>
      <c r="I81" s="47">
        <f t="shared" si="5"/>
        <v>16.37</v>
      </c>
      <c r="J81" s="47">
        <f t="shared" si="6"/>
        <v>180.07</v>
      </c>
      <c r="K81" s="70">
        <f t="shared" si="7"/>
        <v>180.07</v>
      </c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</row>
    <row r="82">
      <c r="A82" s="289">
        <v>23.0</v>
      </c>
      <c r="B82" s="289">
        <v>1391.44</v>
      </c>
      <c r="C82" s="289">
        <v>23.0</v>
      </c>
      <c r="D82" s="289">
        <v>1235.0</v>
      </c>
      <c r="E82" s="277">
        <v>44.0</v>
      </c>
      <c r="F82" s="47">
        <f t="shared" si="2"/>
        <v>8.8</v>
      </c>
      <c r="G82" s="47">
        <f t="shared" si="3"/>
        <v>7.77</v>
      </c>
      <c r="H82" s="47">
        <f t="shared" si="4"/>
        <v>7.77</v>
      </c>
      <c r="I82" s="47">
        <f t="shared" si="5"/>
        <v>16.57</v>
      </c>
      <c r="J82" s="47">
        <f t="shared" si="6"/>
        <v>182.27</v>
      </c>
      <c r="K82" s="70">
        <f t="shared" si="7"/>
        <v>182.27</v>
      </c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</row>
    <row r="83">
      <c r="A83" s="289">
        <v>24.0</v>
      </c>
      <c r="B83" s="289">
        <v>1439.0</v>
      </c>
      <c r="C83" s="289">
        <v>24.0</v>
      </c>
      <c r="D83" s="289">
        <v>1277.5</v>
      </c>
      <c r="E83" s="277">
        <v>45.0</v>
      </c>
      <c r="F83" s="47">
        <f t="shared" si="2"/>
        <v>9</v>
      </c>
      <c r="G83" s="47">
        <f t="shared" si="3"/>
        <v>7.77</v>
      </c>
      <c r="H83" s="47">
        <f t="shared" si="4"/>
        <v>7.77</v>
      </c>
      <c r="I83" s="47">
        <f t="shared" si="5"/>
        <v>16.77</v>
      </c>
      <c r="J83" s="47">
        <f t="shared" si="6"/>
        <v>184.47</v>
      </c>
      <c r="K83" s="70">
        <f t="shared" si="7"/>
        <v>184.47</v>
      </c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</row>
    <row r="84">
      <c r="A84" s="289">
        <v>25.0</v>
      </c>
      <c r="B84" s="289">
        <v>1486.56</v>
      </c>
      <c r="C84" s="289">
        <v>25.0</v>
      </c>
      <c r="D84" s="289">
        <v>1320.0</v>
      </c>
      <c r="E84" s="277">
        <v>46.0</v>
      </c>
      <c r="F84" s="47">
        <f t="shared" si="2"/>
        <v>9.2</v>
      </c>
      <c r="G84" s="47">
        <f t="shared" si="3"/>
        <v>7.77</v>
      </c>
      <c r="H84" s="47">
        <f t="shared" si="4"/>
        <v>7.77</v>
      </c>
      <c r="I84" s="47">
        <f t="shared" si="5"/>
        <v>16.97</v>
      </c>
      <c r="J84" s="47">
        <f t="shared" si="6"/>
        <v>186.67</v>
      </c>
      <c r="K84" s="70">
        <f t="shared" si="7"/>
        <v>186.67</v>
      </c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</row>
    <row r="85">
      <c r="A85" s="289">
        <v>26.0</v>
      </c>
      <c r="B85" s="289">
        <v>1534.12</v>
      </c>
      <c r="C85" s="289">
        <v>26.0</v>
      </c>
      <c r="D85" s="289">
        <v>1362.5</v>
      </c>
      <c r="E85" s="277">
        <v>47.0</v>
      </c>
      <c r="F85" s="47">
        <f t="shared" si="2"/>
        <v>9.4</v>
      </c>
      <c r="G85" s="47">
        <f t="shared" si="3"/>
        <v>7.77</v>
      </c>
      <c r="H85" s="47">
        <f t="shared" si="4"/>
        <v>7.77</v>
      </c>
      <c r="I85" s="47">
        <f t="shared" si="5"/>
        <v>17.17</v>
      </c>
      <c r="J85" s="47">
        <f t="shared" si="6"/>
        <v>188.87</v>
      </c>
      <c r="K85" s="70">
        <f t="shared" si="7"/>
        <v>188.87</v>
      </c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</row>
    <row r="86">
      <c r="A86" s="289">
        <v>27.0</v>
      </c>
      <c r="B86" s="289">
        <v>1581.68</v>
      </c>
      <c r="C86" s="289">
        <v>27.0</v>
      </c>
      <c r="D86" s="289">
        <v>1405.0</v>
      </c>
      <c r="E86" s="277">
        <v>48.0</v>
      </c>
      <c r="F86" s="47">
        <f t="shared" si="2"/>
        <v>9.6</v>
      </c>
      <c r="G86" s="47">
        <f t="shared" si="3"/>
        <v>7.77</v>
      </c>
      <c r="H86" s="47">
        <f t="shared" si="4"/>
        <v>7.77</v>
      </c>
      <c r="I86" s="47">
        <f t="shared" si="5"/>
        <v>17.37</v>
      </c>
      <c r="J86" s="47">
        <f t="shared" si="6"/>
        <v>191.07</v>
      </c>
      <c r="K86" s="70">
        <f t="shared" si="7"/>
        <v>191.07</v>
      </c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</row>
    <row r="87">
      <c r="A87" s="289">
        <v>28.0</v>
      </c>
      <c r="B87" s="289">
        <v>1629.24</v>
      </c>
      <c r="C87" s="289">
        <v>28.0</v>
      </c>
      <c r="D87" s="289">
        <v>1447.5</v>
      </c>
      <c r="E87" s="277">
        <v>49.0</v>
      </c>
      <c r="F87" s="47">
        <f t="shared" si="2"/>
        <v>9.8</v>
      </c>
      <c r="G87" s="47">
        <f t="shared" si="3"/>
        <v>7.77</v>
      </c>
      <c r="H87" s="47">
        <f t="shared" si="4"/>
        <v>7.77</v>
      </c>
      <c r="I87" s="47">
        <f t="shared" si="5"/>
        <v>17.57</v>
      </c>
      <c r="J87" s="47">
        <f t="shared" si="6"/>
        <v>193.27</v>
      </c>
      <c r="K87" s="70">
        <f t="shared" si="7"/>
        <v>193.27</v>
      </c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</row>
    <row r="88">
      <c r="A88" s="289">
        <v>29.0</v>
      </c>
      <c r="B88" s="289">
        <v>1676.8</v>
      </c>
      <c r="C88" s="289">
        <v>29.0</v>
      </c>
      <c r="D88" s="289">
        <v>1490.0</v>
      </c>
      <c r="E88" s="277">
        <v>50.0</v>
      </c>
      <c r="F88" s="47">
        <f t="shared" si="2"/>
        <v>10</v>
      </c>
      <c r="G88" s="47">
        <f t="shared" si="3"/>
        <v>7.77</v>
      </c>
      <c r="H88" s="47">
        <f t="shared" si="4"/>
        <v>7.77</v>
      </c>
      <c r="I88" s="47">
        <f t="shared" si="5"/>
        <v>17.77</v>
      </c>
      <c r="J88" s="47">
        <f t="shared" si="6"/>
        <v>195.47</v>
      </c>
      <c r="K88" s="70">
        <f t="shared" si="7"/>
        <v>195.47</v>
      </c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</row>
    <row r="89">
      <c r="A89" s="289">
        <v>30.0</v>
      </c>
      <c r="B89" s="289">
        <v>1724.36</v>
      </c>
      <c r="C89" s="289">
        <v>30.0</v>
      </c>
      <c r="D89" s="289">
        <v>1532.5</v>
      </c>
      <c r="E89" s="277">
        <v>51.0</v>
      </c>
      <c r="F89" s="47">
        <f t="shared" si="2"/>
        <v>10.2</v>
      </c>
      <c r="G89" s="47">
        <f t="shared" si="3"/>
        <v>7.77</v>
      </c>
      <c r="H89" s="47">
        <f t="shared" si="4"/>
        <v>7.77</v>
      </c>
      <c r="I89" s="47">
        <f t="shared" si="5"/>
        <v>17.97</v>
      </c>
      <c r="J89" s="47">
        <f t="shared" si="6"/>
        <v>197.67</v>
      </c>
      <c r="K89" s="70">
        <f t="shared" si="7"/>
        <v>197.67</v>
      </c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</row>
    <row r="90">
      <c r="A90" s="289">
        <v>31.0</v>
      </c>
      <c r="B90" s="289">
        <v>1771.92</v>
      </c>
      <c r="C90" s="289">
        <v>31.0</v>
      </c>
      <c r="D90" s="289">
        <v>1575.0</v>
      </c>
      <c r="E90" s="277">
        <v>52.0</v>
      </c>
      <c r="F90" s="47">
        <f t="shared" si="2"/>
        <v>10.4</v>
      </c>
      <c r="G90" s="47">
        <f t="shared" si="3"/>
        <v>7.77</v>
      </c>
      <c r="H90" s="47">
        <f t="shared" si="4"/>
        <v>7.77</v>
      </c>
      <c r="I90" s="47">
        <f t="shared" si="5"/>
        <v>18.17</v>
      </c>
      <c r="J90" s="47">
        <f t="shared" si="6"/>
        <v>199.87</v>
      </c>
      <c r="K90" s="70">
        <f t="shared" si="7"/>
        <v>199.87</v>
      </c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</row>
    <row r="91">
      <c r="A91" s="289">
        <v>32.0</v>
      </c>
      <c r="B91" s="289">
        <v>1819.48</v>
      </c>
      <c r="C91" s="289">
        <v>32.0</v>
      </c>
      <c r="D91" s="289">
        <v>1617.5</v>
      </c>
      <c r="E91" s="277">
        <v>53.0</v>
      </c>
      <c r="F91" s="47">
        <f t="shared" si="2"/>
        <v>10.6</v>
      </c>
      <c r="G91" s="47">
        <f t="shared" si="3"/>
        <v>7.77</v>
      </c>
      <c r="H91" s="47">
        <f t="shared" si="4"/>
        <v>7.77</v>
      </c>
      <c r="I91" s="47">
        <f t="shared" si="5"/>
        <v>18.37</v>
      </c>
      <c r="J91" s="47">
        <f t="shared" si="6"/>
        <v>202.07</v>
      </c>
      <c r="K91" s="70">
        <f t="shared" si="7"/>
        <v>202.07</v>
      </c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</row>
    <row r="92">
      <c r="A92" s="289">
        <v>33.0</v>
      </c>
      <c r="B92" s="289">
        <v>1867.04</v>
      </c>
      <c r="C92" s="289">
        <v>33.0</v>
      </c>
      <c r="D92" s="289">
        <v>1660.0</v>
      </c>
      <c r="E92" s="277">
        <v>54.0</v>
      </c>
      <c r="F92" s="47">
        <f t="shared" si="2"/>
        <v>10.8</v>
      </c>
      <c r="G92" s="47">
        <f t="shared" si="3"/>
        <v>7.77</v>
      </c>
      <c r="H92" s="47">
        <f t="shared" si="4"/>
        <v>7.77</v>
      </c>
      <c r="I92" s="47">
        <f t="shared" si="5"/>
        <v>18.57</v>
      </c>
      <c r="J92" s="47">
        <f t="shared" si="6"/>
        <v>204.27</v>
      </c>
      <c r="K92" s="70">
        <f t="shared" si="7"/>
        <v>204.27</v>
      </c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</row>
    <row r="93">
      <c r="A93" s="289">
        <v>34.0</v>
      </c>
      <c r="B93" s="289">
        <v>1914.6</v>
      </c>
      <c r="C93" s="289">
        <v>34.0</v>
      </c>
      <c r="D93" s="289">
        <v>1702.5</v>
      </c>
      <c r="E93" s="277">
        <v>55.0</v>
      </c>
      <c r="F93" s="47">
        <f t="shared" si="2"/>
        <v>11</v>
      </c>
      <c r="G93" s="47">
        <f t="shared" si="3"/>
        <v>7.77</v>
      </c>
      <c r="H93" s="47">
        <f t="shared" si="4"/>
        <v>7.77</v>
      </c>
      <c r="I93" s="47">
        <f t="shared" si="5"/>
        <v>18.77</v>
      </c>
      <c r="J93" s="47">
        <f t="shared" si="6"/>
        <v>206.47</v>
      </c>
      <c r="K93" s="70">
        <f t="shared" si="7"/>
        <v>206.47</v>
      </c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</row>
    <row r="94">
      <c r="A94" s="289">
        <v>35.0</v>
      </c>
      <c r="B94" s="289">
        <v>1962.16</v>
      </c>
      <c r="C94" s="289">
        <v>35.0</v>
      </c>
      <c r="D94" s="289">
        <v>1745.0</v>
      </c>
      <c r="E94" s="277">
        <v>56.0</v>
      </c>
      <c r="F94" s="47">
        <f t="shared" si="2"/>
        <v>11.2</v>
      </c>
      <c r="G94" s="47">
        <f t="shared" si="3"/>
        <v>7.77</v>
      </c>
      <c r="H94" s="47">
        <f t="shared" si="4"/>
        <v>7.77</v>
      </c>
      <c r="I94" s="47">
        <f t="shared" si="5"/>
        <v>18.97</v>
      </c>
      <c r="J94" s="47">
        <f t="shared" si="6"/>
        <v>208.67</v>
      </c>
      <c r="K94" s="70">
        <f t="shared" si="7"/>
        <v>208.67</v>
      </c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</row>
    <row r="95">
      <c r="A95" s="289">
        <v>36.0</v>
      </c>
      <c r="B95" s="289">
        <v>2009.72</v>
      </c>
      <c r="C95" s="289">
        <v>36.0</v>
      </c>
      <c r="D95" s="289">
        <v>1787.5</v>
      </c>
      <c r="E95" s="277">
        <v>57.0</v>
      </c>
      <c r="F95" s="47">
        <f t="shared" si="2"/>
        <v>11.4</v>
      </c>
      <c r="G95" s="47">
        <f t="shared" si="3"/>
        <v>7.77</v>
      </c>
      <c r="H95" s="47">
        <f t="shared" si="4"/>
        <v>7.77</v>
      </c>
      <c r="I95" s="47">
        <f t="shared" si="5"/>
        <v>19.17</v>
      </c>
      <c r="J95" s="47">
        <f t="shared" si="6"/>
        <v>210.87</v>
      </c>
      <c r="K95" s="70">
        <f t="shared" si="7"/>
        <v>210.87</v>
      </c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</row>
    <row r="96">
      <c r="A96" s="289">
        <v>37.0</v>
      </c>
      <c r="B96" s="289">
        <v>2057.28</v>
      </c>
      <c r="C96" s="289">
        <v>37.0</v>
      </c>
      <c r="D96" s="289">
        <v>1830.0</v>
      </c>
      <c r="E96" s="277">
        <v>58.0</v>
      </c>
      <c r="F96" s="47">
        <f t="shared" si="2"/>
        <v>11.6</v>
      </c>
      <c r="G96" s="47">
        <f t="shared" si="3"/>
        <v>7.77</v>
      </c>
      <c r="H96" s="47">
        <f t="shared" si="4"/>
        <v>7.77</v>
      </c>
      <c r="I96" s="47">
        <f t="shared" si="5"/>
        <v>19.37</v>
      </c>
      <c r="J96" s="47">
        <f t="shared" si="6"/>
        <v>213.07</v>
      </c>
      <c r="K96" s="70">
        <f t="shared" si="7"/>
        <v>213.07</v>
      </c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</row>
    <row r="97">
      <c r="A97" s="289">
        <v>38.0</v>
      </c>
      <c r="B97" s="289">
        <v>2104.84</v>
      </c>
      <c r="C97" s="289">
        <v>38.0</v>
      </c>
      <c r="D97" s="289">
        <v>1872.5</v>
      </c>
      <c r="E97" s="277">
        <v>59.0</v>
      </c>
      <c r="F97" s="47">
        <f t="shared" si="2"/>
        <v>11.8</v>
      </c>
      <c r="G97" s="47">
        <f t="shared" si="3"/>
        <v>7.77</v>
      </c>
      <c r="H97" s="47">
        <f t="shared" si="4"/>
        <v>7.77</v>
      </c>
      <c r="I97" s="47">
        <f t="shared" si="5"/>
        <v>19.57</v>
      </c>
      <c r="J97" s="47">
        <f t="shared" si="6"/>
        <v>215.27</v>
      </c>
      <c r="K97" s="70">
        <f t="shared" si="7"/>
        <v>215.27</v>
      </c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</row>
    <row r="98">
      <c r="A98" s="289">
        <v>39.0</v>
      </c>
      <c r="B98" s="289">
        <v>2152.4</v>
      </c>
      <c r="C98" s="289">
        <v>39.0</v>
      </c>
      <c r="D98" s="289">
        <v>1915.0</v>
      </c>
      <c r="E98" s="277">
        <v>60.0</v>
      </c>
      <c r="F98" s="47">
        <f t="shared" si="2"/>
        <v>12</v>
      </c>
      <c r="G98" s="47">
        <f t="shared" si="3"/>
        <v>7.77</v>
      </c>
      <c r="H98" s="47">
        <f t="shared" si="4"/>
        <v>7.77</v>
      </c>
      <c r="I98" s="47">
        <f t="shared" si="5"/>
        <v>19.77</v>
      </c>
      <c r="J98" s="47">
        <f t="shared" si="6"/>
        <v>217.47</v>
      </c>
      <c r="K98" s="70">
        <f t="shared" si="7"/>
        <v>217.47</v>
      </c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</row>
    <row r="99">
      <c r="A99" s="289">
        <v>40.0</v>
      </c>
      <c r="B99" s="289">
        <v>2199.96</v>
      </c>
      <c r="C99" s="289">
        <v>40.0</v>
      </c>
      <c r="D99" s="289">
        <v>2000.0</v>
      </c>
      <c r="E99" s="277">
        <v>61.0</v>
      </c>
      <c r="F99" s="47">
        <f t="shared" si="2"/>
        <v>12.2</v>
      </c>
      <c r="G99" s="47">
        <f t="shared" si="3"/>
        <v>7.77</v>
      </c>
      <c r="H99" s="47">
        <f t="shared" si="4"/>
        <v>7.77</v>
      </c>
      <c r="I99" s="47">
        <f t="shared" si="5"/>
        <v>19.97</v>
      </c>
      <c r="J99" s="47">
        <f t="shared" si="6"/>
        <v>219.67</v>
      </c>
      <c r="K99" s="70">
        <f t="shared" si="7"/>
        <v>219.67</v>
      </c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</row>
    <row r="100">
      <c r="A100" s="43"/>
      <c r="B100" s="289"/>
      <c r="C100" s="289"/>
      <c r="D100" s="289"/>
      <c r="E100" s="277">
        <v>62.0</v>
      </c>
      <c r="F100" s="47">
        <f t="shared" si="2"/>
        <v>12.4</v>
      </c>
      <c r="G100" s="47">
        <f t="shared" si="3"/>
        <v>7.77</v>
      </c>
      <c r="H100" s="47">
        <f t="shared" si="4"/>
        <v>7.77</v>
      </c>
      <c r="I100" s="47">
        <f t="shared" si="5"/>
        <v>20.17</v>
      </c>
      <c r="J100" s="47">
        <f t="shared" si="6"/>
        <v>221.87</v>
      </c>
      <c r="K100" s="70">
        <f t="shared" si="7"/>
        <v>221.87</v>
      </c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</row>
    <row r="101">
      <c r="A101" s="43"/>
      <c r="B101" s="289"/>
      <c r="C101" s="289"/>
      <c r="D101" s="289"/>
      <c r="E101" s="277">
        <v>63.0</v>
      </c>
      <c r="F101" s="47">
        <f t="shared" si="2"/>
        <v>12.6</v>
      </c>
      <c r="G101" s="47">
        <f t="shared" si="3"/>
        <v>7.77</v>
      </c>
      <c r="H101" s="47">
        <f t="shared" si="4"/>
        <v>7.77</v>
      </c>
      <c r="I101" s="47">
        <f t="shared" si="5"/>
        <v>20.37</v>
      </c>
      <c r="J101" s="47">
        <f t="shared" si="6"/>
        <v>224.07</v>
      </c>
      <c r="K101" s="70">
        <f t="shared" si="7"/>
        <v>224.07</v>
      </c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</row>
    <row r="102">
      <c r="A102" s="43"/>
      <c r="B102" s="289"/>
      <c r="C102" s="289"/>
      <c r="D102" s="289"/>
      <c r="E102" s="277">
        <v>64.0</v>
      </c>
      <c r="F102" s="47">
        <f t="shared" si="2"/>
        <v>12.8</v>
      </c>
      <c r="G102" s="47">
        <f t="shared" si="3"/>
        <v>7.77</v>
      </c>
      <c r="H102" s="47">
        <f t="shared" si="4"/>
        <v>7.77</v>
      </c>
      <c r="I102" s="47">
        <f t="shared" si="5"/>
        <v>20.57</v>
      </c>
      <c r="J102" s="47">
        <f t="shared" si="6"/>
        <v>226.27</v>
      </c>
      <c r="K102" s="70">
        <f t="shared" si="7"/>
        <v>226.27</v>
      </c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</row>
    <row r="103">
      <c r="A103" s="43"/>
      <c r="B103" s="289"/>
      <c r="C103" s="43"/>
      <c r="D103" s="289"/>
      <c r="E103" s="277">
        <v>65.0</v>
      </c>
      <c r="F103" s="47">
        <f t="shared" si="2"/>
        <v>13</v>
      </c>
      <c r="G103" s="47">
        <f t="shared" si="3"/>
        <v>7.77</v>
      </c>
      <c r="H103" s="47">
        <f t="shared" si="4"/>
        <v>7.77</v>
      </c>
      <c r="I103" s="47">
        <f t="shared" si="5"/>
        <v>20.77</v>
      </c>
      <c r="J103" s="47">
        <f t="shared" si="6"/>
        <v>228.47</v>
      </c>
      <c r="K103" s="70">
        <f t="shared" si="7"/>
        <v>228.47</v>
      </c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</row>
    <row r="104">
      <c r="A104" s="43"/>
      <c r="B104" s="289"/>
      <c r="C104" s="43"/>
      <c r="D104" s="289"/>
      <c r="E104" s="277">
        <v>66.0</v>
      </c>
      <c r="F104" s="47">
        <f t="shared" si="2"/>
        <v>13.2</v>
      </c>
      <c r="G104" s="47">
        <f t="shared" si="3"/>
        <v>7.77</v>
      </c>
      <c r="H104" s="47">
        <f t="shared" si="4"/>
        <v>7.77</v>
      </c>
      <c r="I104" s="47">
        <f t="shared" si="5"/>
        <v>20.97</v>
      </c>
      <c r="J104" s="47">
        <f t="shared" si="6"/>
        <v>230.67</v>
      </c>
      <c r="K104" s="70">
        <f t="shared" si="7"/>
        <v>230.67</v>
      </c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</row>
    <row r="105">
      <c r="A105" s="43"/>
      <c r="B105" s="289"/>
      <c r="C105" s="43"/>
      <c r="D105" s="289"/>
      <c r="E105" s="277">
        <v>67.0</v>
      </c>
      <c r="F105" s="47">
        <f t="shared" si="2"/>
        <v>13.4</v>
      </c>
      <c r="G105" s="47">
        <f t="shared" si="3"/>
        <v>7.77</v>
      </c>
      <c r="H105" s="47">
        <f t="shared" si="4"/>
        <v>7.77</v>
      </c>
      <c r="I105" s="47">
        <f t="shared" si="5"/>
        <v>21.17</v>
      </c>
      <c r="J105" s="47">
        <f t="shared" si="6"/>
        <v>232.87</v>
      </c>
      <c r="K105" s="70">
        <f t="shared" si="7"/>
        <v>232.87</v>
      </c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</row>
    <row r="106">
      <c r="A106" s="43"/>
      <c r="B106" s="289"/>
      <c r="C106" s="43"/>
      <c r="D106" s="289"/>
      <c r="E106" s="277">
        <v>68.0</v>
      </c>
      <c r="F106" s="47">
        <f t="shared" si="2"/>
        <v>13.6</v>
      </c>
      <c r="G106" s="47">
        <f t="shared" si="3"/>
        <v>7.77</v>
      </c>
      <c r="H106" s="47">
        <f t="shared" si="4"/>
        <v>7.77</v>
      </c>
      <c r="I106" s="47">
        <f t="shared" si="5"/>
        <v>21.37</v>
      </c>
      <c r="J106" s="47">
        <f t="shared" si="6"/>
        <v>235.07</v>
      </c>
      <c r="K106" s="70">
        <f t="shared" si="7"/>
        <v>235.07</v>
      </c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</row>
    <row r="107">
      <c r="A107" s="43"/>
      <c r="B107" s="289"/>
      <c r="C107" s="43"/>
      <c r="D107" s="43"/>
      <c r="E107" s="277">
        <v>69.0</v>
      </c>
      <c r="F107" s="47">
        <f t="shared" si="2"/>
        <v>13.8</v>
      </c>
      <c r="G107" s="47">
        <f t="shared" si="3"/>
        <v>7.77</v>
      </c>
      <c r="H107" s="47">
        <f t="shared" si="4"/>
        <v>7.77</v>
      </c>
      <c r="I107" s="47">
        <f t="shared" si="5"/>
        <v>21.57</v>
      </c>
      <c r="J107" s="47">
        <f t="shared" si="6"/>
        <v>237.27</v>
      </c>
      <c r="K107" s="70">
        <f t="shared" si="7"/>
        <v>237.27</v>
      </c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</row>
    <row r="108">
      <c r="A108" s="43"/>
      <c r="B108" s="289"/>
      <c r="C108" s="47"/>
      <c r="D108" s="47"/>
      <c r="E108" s="277">
        <v>70.0</v>
      </c>
      <c r="F108" s="47">
        <f t="shared" si="2"/>
        <v>14</v>
      </c>
      <c r="G108" s="47">
        <f t="shared" si="3"/>
        <v>7.77</v>
      </c>
      <c r="H108" s="47">
        <f t="shared" si="4"/>
        <v>7.77</v>
      </c>
      <c r="I108" s="47">
        <f t="shared" si="5"/>
        <v>21.77</v>
      </c>
      <c r="J108" s="47">
        <f t="shared" si="6"/>
        <v>239.47</v>
      </c>
      <c r="K108" s="70">
        <f t="shared" si="7"/>
        <v>239.47</v>
      </c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</row>
    <row r="109">
      <c r="A109" s="43"/>
      <c r="B109" s="289"/>
      <c r="C109" s="47"/>
      <c r="D109" s="47"/>
      <c r="E109" s="277">
        <v>71.0</v>
      </c>
      <c r="F109" s="47">
        <f t="shared" si="2"/>
        <v>14.2</v>
      </c>
      <c r="G109" s="47">
        <f t="shared" si="3"/>
        <v>7.77</v>
      </c>
      <c r="H109" s="47">
        <f t="shared" si="4"/>
        <v>7.77</v>
      </c>
      <c r="I109" s="47">
        <f t="shared" si="5"/>
        <v>21.97</v>
      </c>
      <c r="J109" s="47">
        <f t="shared" si="6"/>
        <v>241.67</v>
      </c>
      <c r="K109" s="70">
        <f t="shared" si="7"/>
        <v>241.67</v>
      </c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</row>
    <row r="110">
      <c r="A110" s="43"/>
      <c r="B110" s="289"/>
      <c r="C110" s="47"/>
      <c r="D110" s="47"/>
      <c r="E110" s="277">
        <v>72.0</v>
      </c>
      <c r="F110" s="47">
        <f t="shared" si="2"/>
        <v>14.4</v>
      </c>
      <c r="G110" s="47">
        <f t="shared" si="3"/>
        <v>7.77</v>
      </c>
      <c r="H110" s="47">
        <f t="shared" si="4"/>
        <v>7.77</v>
      </c>
      <c r="I110" s="47">
        <f t="shared" si="5"/>
        <v>22.17</v>
      </c>
      <c r="J110" s="47">
        <f t="shared" si="6"/>
        <v>243.87</v>
      </c>
      <c r="K110" s="70">
        <f t="shared" si="7"/>
        <v>243.87</v>
      </c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</row>
    <row r="111">
      <c r="A111" s="43"/>
      <c r="B111" s="289"/>
      <c r="C111" s="47"/>
      <c r="D111" s="47"/>
      <c r="E111" s="277">
        <v>73.0</v>
      </c>
      <c r="F111" s="47">
        <f t="shared" si="2"/>
        <v>14.6</v>
      </c>
      <c r="G111" s="47">
        <f t="shared" si="3"/>
        <v>7.77</v>
      </c>
      <c r="H111" s="47">
        <f t="shared" si="4"/>
        <v>7.77</v>
      </c>
      <c r="I111" s="47">
        <f t="shared" si="5"/>
        <v>22.37</v>
      </c>
      <c r="J111" s="47">
        <f t="shared" si="6"/>
        <v>246.07</v>
      </c>
      <c r="K111" s="70">
        <f t="shared" si="7"/>
        <v>246.07</v>
      </c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</row>
    <row r="112">
      <c r="A112" s="43"/>
      <c r="B112" s="289"/>
      <c r="C112" s="47"/>
      <c r="D112" s="47"/>
      <c r="E112" s="277">
        <v>74.0</v>
      </c>
      <c r="F112" s="47">
        <f t="shared" si="2"/>
        <v>14.8</v>
      </c>
      <c r="G112" s="47">
        <f t="shared" si="3"/>
        <v>7.77</v>
      </c>
      <c r="H112" s="47">
        <f t="shared" si="4"/>
        <v>7.77</v>
      </c>
      <c r="I112" s="47">
        <f t="shared" si="5"/>
        <v>22.57</v>
      </c>
      <c r="J112" s="47">
        <f t="shared" si="6"/>
        <v>248.27</v>
      </c>
      <c r="K112" s="70">
        <f t="shared" si="7"/>
        <v>248.27</v>
      </c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</row>
    <row r="113">
      <c r="A113" s="43"/>
      <c r="B113" s="289"/>
      <c r="C113" s="47"/>
      <c r="D113" s="47"/>
      <c r="E113" s="277">
        <v>75.0</v>
      </c>
      <c r="F113" s="47">
        <f t="shared" si="2"/>
        <v>15</v>
      </c>
      <c r="G113" s="47">
        <f t="shared" si="3"/>
        <v>7.77</v>
      </c>
      <c r="H113" s="47">
        <f t="shared" si="4"/>
        <v>7.77</v>
      </c>
      <c r="I113" s="47">
        <f t="shared" si="5"/>
        <v>22.77</v>
      </c>
      <c r="J113" s="47">
        <f t="shared" si="6"/>
        <v>250.47</v>
      </c>
      <c r="K113" s="70">
        <f t="shared" si="7"/>
        <v>250.47</v>
      </c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</row>
    <row r="114">
      <c r="A114" s="43"/>
      <c r="B114" s="289"/>
      <c r="C114" s="47"/>
      <c r="D114" s="47"/>
      <c r="E114" s="277">
        <v>76.0</v>
      </c>
      <c r="F114" s="47">
        <f t="shared" si="2"/>
        <v>15.2</v>
      </c>
      <c r="G114" s="47">
        <f t="shared" si="3"/>
        <v>7.77</v>
      </c>
      <c r="H114" s="47">
        <f t="shared" si="4"/>
        <v>7.77</v>
      </c>
      <c r="I114" s="47">
        <f t="shared" si="5"/>
        <v>22.97</v>
      </c>
      <c r="J114" s="47">
        <f t="shared" si="6"/>
        <v>252.67</v>
      </c>
      <c r="K114" s="70">
        <f t="shared" si="7"/>
        <v>252.67</v>
      </c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</row>
    <row r="115">
      <c r="A115" s="43"/>
      <c r="B115" s="289"/>
      <c r="C115" s="47"/>
      <c r="D115" s="47"/>
      <c r="E115" s="277">
        <v>77.0</v>
      </c>
      <c r="F115" s="47">
        <f t="shared" si="2"/>
        <v>15.4</v>
      </c>
      <c r="G115" s="47">
        <f t="shared" si="3"/>
        <v>7.77</v>
      </c>
      <c r="H115" s="47">
        <f t="shared" si="4"/>
        <v>7.77</v>
      </c>
      <c r="I115" s="47">
        <f t="shared" si="5"/>
        <v>23.17</v>
      </c>
      <c r="J115" s="47">
        <f t="shared" si="6"/>
        <v>254.87</v>
      </c>
      <c r="K115" s="70">
        <f t="shared" si="7"/>
        <v>254.87</v>
      </c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</row>
    <row r="116">
      <c r="A116" s="47"/>
      <c r="B116" s="47"/>
      <c r="C116" s="47"/>
      <c r="D116" s="47"/>
      <c r="E116" s="277">
        <v>78.0</v>
      </c>
      <c r="F116" s="47">
        <f t="shared" si="2"/>
        <v>15.6</v>
      </c>
      <c r="G116" s="47">
        <f t="shared" si="3"/>
        <v>7.77</v>
      </c>
      <c r="H116" s="47">
        <f t="shared" si="4"/>
        <v>7.77</v>
      </c>
      <c r="I116" s="47">
        <f t="shared" si="5"/>
        <v>23.37</v>
      </c>
      <c r="J116" s="47">
        <f t="shared" si="6"/>
        <v>257.07</v>
      </c>
      <c r="K116" s="70">
        <f t="shared" si="7"/>
        <v>257.07</v>
      </c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</row>
    <row r="117">
      <c r="A117" s="47"/>
      <c r="B117" s="47"/>
      <c r="C117" s="47"/>
      <c r="D117" s="47"/>
      <c r="E117" s="277">
        <v>79.0</v>
      </c>
      <c r="F117" s="47">
        <f t="shared" si="2"/>
        <v>15.8</v>
      </c>
      <c r="G117" s="47">
        <f t="shared" si="3"/>
        <v>7.77</v>
      </c>
      <c r="H117" s="47">
        <f t="shared" si="4"/>
        <v>7.77</v>
      </c>
      <c r="I117" s="47">
        <f t="shared" si="5"/>
        <v>23.57</v>
      </c>
      <c r="J117" s="47">
        <f t="shared" si="6"/>
        <v>259.27</v>
      </c>
      <c r="K117" s="70">
        <f t="shared" si="7"/>
        <v>259.27</v>
      </c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</row>
    <row r="118">
      <c r="A118" s="47"/>
      <c r="B118" s="47"/>
      <c r="C118" s="47"/>
      <c r="D118" s="47"/>
      <c r="E118" s="277">
        <v>80.0</v>
      </c>
      <c r="F118" s="47">
        <f t="shared" si="2"/>
        <v>16</v>
      </c>
      <c r="G118" s="47">
        <f t="shared" si="3"/>
        <v>7.77</v>
      </c>
      <c r="H118" s="47">
        <f t="shared" si="4"/>
        <v>7.77</v>
      </c>
      <c r="I118" s="47">
        <f t="shared" si="5"/>
        <v>23.77</v>
      </c>
      <c r="J118" s="47">
        <f t="shared" si="6"/>
        <v>261.47</v>
      </c>
      <c r="K118" s="70">
        <f t="shared" si="7"/>
        <v>261.47</v>
      </c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</row>
    <row r="119">
      <c r="A119" s="47"/>
      <c r="B119" s="47"/>
      <c r="C119" s="47"/>
      <c r="D119" s="47"/>
      <c r="E119" s="290"/>
      <c r="F119" s="291"/>
      <c r="G119" s="291"/>
      <c r="H119" s="291"/>
      <c r="I119" s="291"/>
      <c r="J119" s="291"/>
      <c r="K119" s="292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</row>
    <row r="144">
      <c r="A144" s="43" t="s">
        <v>312</v>
      </c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</row>
    <row r="145">
      <c r="A145" s="43" t="s">
        <v>313</v>
      </c>
      <c r="B145" s="43" t="s">
        <v>314</v>
      </c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</row>
    <row r="146">
      <c r="A146" s="43">
        <v>1.0</v>
      </c>
      <c r="B146" s="289">
        <v>250.0</v>
      </c>
      <c r="C146" s="289">
        <v>20.0</v>
      </c>
      <c r="D146" s="289">
        <v>972.4</v>
      </c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</row>
    <row r="147">
      <c r="A147" s="43">
        <v>2.0</v>
      </c>
      <c r="B147" s="289">
        <v>284.4</v>
      </c>
      <c r="C147" s="289">
        <v>21.0</v>
      </c>
      <c r="D147" s="289">
        <v>1006.0</v>
      </c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</row>
    <row r="148">
      <c r="A148" s="43">
        <v>3.0</v>
      </c>
      <c r="B148" s="289">
        <v>318.8</v>
      </c>
      <c r="C148" s="289">
        <v>22.0</v>
      </c>
      <c r="D148" s="289">
        <v>1039.6</v>
      </c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</row>
    <row r="149">
      <c r="A149" s="43">
        <v>4.0</v>
      </c>
      <c r="B149" s="289">
        <v>353.2</v>
      </c>
      <c r="C149" s="289">
        <v>23.0</v>
      </c>
      <c r="D149" s="289">
        <v>1073.2</v>
      </c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</row>
    <row r="150">
      <c r="A150" s="43">
        <v>5.0</v>
      </c>
      <c r="B150" s="289">
        <v>387.6</v>
      </c>
      <c r="C150" s="289">
        <v>24.0</v>
      </c>
      <c r="D150" s="289">
        <v>1106.8</v>
      </c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</row>
    <row r="151">
      <c r="A151" s="43">
        <v>6.0</v>
      </c>
      <c r="B151" s="289">
        <v>422.0</v>
      </c>
      <c r="C151" s="289">
        <v>25.0</v>
      </c>
      <c r="D151" s="289">
        <v>1140.4</v>
      </c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</row>
    <row r="152">
      <c r="A152" s="43">
        <v>7.0</v>
      </c>
      <c r="B152" s="289">
        <v>456.4</v>
      </c>
      <c r="C152" s="289">
        <v>26.0</v>
      </c>
      <c r="D152" s="289">
        <v>1174.0</v>
      </c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</row>
    <row r="153">
      <c r="A153" s="43">
        <v>8.0</v>
      </c>
      <c r="B153" s="289">
        <v>490.8</v>
      </c>
      <c r="C153" s="289">
        <v>27.0</v>
      </c>
      <c r="D153" s="289">
        <v>1207.6</v>
      </c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</row>
    <row r="154">
      <c r="A154" s="43">
        <v>9.0</v>
      </c>
      <c r="B154" s="289">
        <v>525.2</v>
      </c>
      <c r="C154" s="289">
        <v>28.0</v>
      </c>
      <c r="D154" s="289">
        <v>1241.2</v>
      </c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</row>
    <row r="155">
      <c r="A155" s="43">
        <v>10.0</v>
      </c>
      <c r="B155" s="289">
        <v>559.6</v>
      </c>
      <c r="C155" s="289">
        <v>29.0</v>
      </c>
      <c r="D155" s="289">
        <v>1274.8</v>
      </c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</row>
    <row r="156">
      <c r="A156" s="43">
        <v>11.0</v>
      </c>
      <c r="B156" s="289">
        <v>594.0</v>
      </c>
      <c r="C156" s="289">
        <v>30.0</v>
      </c>
      <c r="D156" s="289">
        <v>1308.4</v>
      </c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</row>
    <row r="157">
      <c r="A157" s="43">
        <v>12.0</v>
      </c>
      <c r="B157" s="289">
        <v>628.4</v>
      </c>
      <c r="C157" s="289">
        <v>31.0</v>
      </c>
      <c r="D157" s="289">
        <v>1342.0</v>
      </c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</row>
    <row r="158">
      <c r="A158" s="43">
        <v>13.0</v>
      </c>
      <c r="B158" s="289">
        <v>662.8</v>
      </c>
      <c r="C158" s="289">
        <v>32.0</v>
      </c>
      <c r="D158" s="289">
        <v>1375.6</v>
      </c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</row>
    <row r="159">
      <c r="A159" s="43">
        <v>14.0</v>
      </c>
      <c r="B159" s="289">
        <v>697.2</v>
      </c>
      <c r="C159" s="289">
        <v>33.0</v>
      </c>
      <c r="D159" s="289">
        <v>1409.2</v>
      </c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</row>
    <row r="160">
      <c r="A160" s="43">
        <v>15.0</v>
      </c>
      <c r="B160" s="289">
        <v>731.6</v>
      </c>
      <c r="C160" s="289">
        <v>34.0</v>
      </c>
      <c r="D160" s="289">
        <v>1442.8</v>
      </c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</row>
    <row r="161">
      <c r="A161" s="43">
        <v>16.0</v>
      </c>
      <c r="B161" s="289">
        <v>766.0</v>
      </c>
      <c r="C161" s="289">
        <v>35.0</v>
      </c>
      <c r="D161" s="289">
        <v>1476.4</v>
      </c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</row>
    <row r="162">
      <c r="A162" s="43">
        <v>17.0</v>
      </c>
      <c r="B162" s="289">
        <v>800.4</v>
      </c>
      <c r="C162" s="289">
        <v>36.0</v>
      </c>
      <c r="D162" s="289">
        <v>1510.0</v>
      </c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</row>
    <row r="163">
      <c r="A163" s="43">
        <v>18.0</v>
      </c>
      <c r="B163" s="289">
        <v>834.8</v>
      </c>
      <c r="C163" s="289">
        <v>37.0</v>
      </c>
      <c r="D163" s="289">
        <v>1543.6</v>
      </c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</row>
    <row r="164">
      <c r="A164" s="43">
        <v>19.0</v>
      </c>
      <c r="B164" s="289">
        <v>869.2</v>
      </c>
      <c r="C164" s="289">
        <v>38.0</v>
      </c>
      <c r="D164" s="289">
        <v>1577.2</v>
      </c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</row>
    <row r="165">
      <c r="A165" s="43">
        <v>20.0</v>
      </c>
      <c r="B165" s="289">
        <v>903.6</v>
      </c>
      <c r="C165" s="289">
        <v>39.0</v>
      </c>
      <c r="D165" s="289">
        <v>1610.8</v>
      </c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</row>
    <row r="166">
      <c r="A166" s="43">
        <v>21.0</v>
      </c>
      <c r="B166" s="289">
        <v>938.0</v>
      </c>
      <c r="C166" s="289">
        <v>40.0</v>
      </c>
      <c r="D166" s="289">
        <v>1644.4</v>
      </c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</row>
    <row r="167">
      <c r="A167" s="47"/>
      <c r="B167" s="47"/>
      <c r="C167" s="43">
        <v>41.0</v>
      </c>
      <c r="D167" s="289">
        <v>1678.0</v>
      </c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</row>
    <row r="168">
      <c r="A168" s="47"/>
      <c r="B168" s="47"/>
      <c r="C168" s="43">
        <v>42.0</v>
      </c>
      <c r="D168" s="289">
        <v>1711.6</v>
      </c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</row>
    <row r="169">
      <c r="A169" s="47"/>
      <c r="B169" s="47"/>
      <c r="C169" s="43">
        <v>43.0</v>
      </c>
      <c r="D169" s="289">
        <v>1745.2</v>
      </c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</row>
    <row r="170">
      <c r="A170" s="47"/>
      <c r="B170" s="47"/>
      <c r="C170" s="43">
        <v>44.0</v>
      </c>
      <c r="D170" s="289">
        <v>1778.8</v>
      </c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</row>
    <row r="171">
      <c r="A171" s="47"/>
      <c r="B171" s="47"/>
      <c r="C171" s="43">
        <v>45.0</v>
      </c>
      <c r="D171" s="43">
        <v>1800.0</v>
      </c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</row>
    <row r="577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</row>
    <row r="579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</row>
    <row r="58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</row>
    <row r="58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</row>
    <row r="58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</row>
    <row r="587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</row>
    <row r="589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</row>
    <row r="59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</row>
    <row r="59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</row>
    <row r="59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</row>
    <row r="597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</row>
    <row r="599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</row>
    <row r="60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</row>
    <row r="60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</row>
    <row r="60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</row>
    <row r="607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</row>
    <row r="609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</row>
    <row r="61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</row>
    <row r="61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</row>
    <row r="61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</row>
    <row r="617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</row>
    <row r="619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</row>
    <row r="62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</row>
    <row r="62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</row>
    <row r="62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</row>
    <row r="627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</row>
    <row r="629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</row>
    <row r="63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</row>
    <row r="6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</row>
    <row r="63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</row>
    <row r="637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</row>
    <row r="639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</row>
    <row r="64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</row>
    <row r="64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</row>
    <row r="64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</row>
    <row r="647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</row>
    <row r="649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</row>
    <row r="65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</row>
    <row r="65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</row>
    <row r="65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</row>
    <row r="657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</row>
    <row r="659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</row>
    <row r="66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</row>
    <row r="66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</row>
    <row r="66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</row>
    <row r="667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</row>
    <row r="669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</row>
    <row r="67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</row>
    <row r="67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</row>
    <row r="6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</row>
    <row r="677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</row>
    <row r="679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</row>
    <row r="68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</row>
    <row r="68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</row>
    <row r="68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</row>
    <row r="687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</row>
    <row r="689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</row>
    <row r="69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</row>
    <row r="69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</row>
    <row r="69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</row>
    <row r="697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</row>
    <row r="699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</row>
    <row r="70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</row>
    <row r="70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</row>
    <row r="70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</row>
    <row r="707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</row>
    <row r="709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</row>
    <row r="71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</row>
    <row r="71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</row>
    <row r="71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</row>
    <row r="717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</row>
    <row r="719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</row>
    <row r="72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</row>
    <row r="72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</row>
    <row r="72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</row>
    <row r="727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</row>
    <row r="729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</row>
    <row r="73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</row>
    <row r="7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</row>
    <row r="73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</row>
    <row r="737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</row>
    <row r="739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</row>
    <row r="74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</row>
    <row r="74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</row>
    <row r="74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</row>
    <row r="747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</row>
    <row r="749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</row>
    <row r="75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</row>
    <row r="75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</row>
    <row r="75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</row>
    <row r="757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</row>
    <row r="759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</row>
    <row r="76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</row>
    <row r="76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</row>
    <row r="76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</row>
    <row r="767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</row>
    <row r="769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</row>
    <row r="77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</row>
    <row r="77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</row>
    <row r="7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</row>
    <row r="777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</row>
    <row r="779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</row>
    <row r="78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</row>
    <row r="78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</row>
    <row r="78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</row>
    <row r="787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</row>
    <row r="789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</row>
    <row r="79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</row>
    <row r="79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</row>
    <row r="79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</row>
    <row r="797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</row>
    <row r="799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</row>
    <row r="80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</row>
    <row r="80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</row>
    <row r="80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</row>
    <row r="807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</row>
    <row r="809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</row>
    <row r="81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</row>
    <row r="81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</row>
    <row r="81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</row>
    <row r="817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</row>
    <row r="819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</row>
    <row r="82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</row>
    <row r="82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</row>
    <row r="82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</row>
    <row r="827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</row>
    <row r="829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</row>
    <row r="83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</row>
    <row r="8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</row>
    <row r="83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</row>
    <row r="837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</row>
    <row r="839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</row>
    <row r="84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</row>
    <row r="84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</row>
    <row r="84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</row>
    <row r="847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</row>
    <row r="849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</row>
    <row r="85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</row>
    <row r="85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</row>
    <row r="85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</row>
    <row r="857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</row>
    <row r="859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</row>
    <row r="86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</row>
    <row r="86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</row>
    <row r="86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</row>
    <row r="867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</row>
    <row r="869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</row>
    <row r="87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</row>
    <row r="87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</row>
    <row r="8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</row>
    <row r="877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</row>
    <row r="879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</row>
    <row r="88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</row>
    <row r="88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</row>
    <row r="88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</row>
    <row r="887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</row>
    <row r="889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</row>
    <row r="89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</row>
    <row r="89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</row>
    <row r="89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</row>
    <row r="897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</row>
    <row r="899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</row>
    <row r="90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</row>
    <row r="90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</row>
    <row r="90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</row>
    <row r="907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</row>
    <row r="909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</row>
    <row r="91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</row>
    <row r="91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</row>
    <row r="915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</row>
    <row r="917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</row>
    <row r="919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</row>
    <row r="92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</row>
    <row r="92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</row>
    <row r="925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</row>
    <row r="927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</row>
    <row r="929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</row>
    <row r="93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</row>
    <row r="9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</row>
    <row r="935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</row>
    <row r="937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</row>
    <row r="939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</row>
    <row r="94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</row>
    <row r="94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</row>
    <row r="94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</row>
    <row r="947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</row>
    <row r="949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</row>
    <row r="95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</row>
    <row r="95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</row>
    <row r="95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</row>
    <row r="957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</row>
    <row r="959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</row>
    <row r="96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</row>
    <row r="96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</row>
    <row r="965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</row>
    <row r="967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</row>
    <row r="969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</row>
    <row r="97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</row>
    <row r="97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</row>
    <row r="975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</row>
    <row r="977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</row>
    <row r="979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</row>
    <row r="98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</row>
    <row r="98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</row>
    <row r="985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</row>
    <row r="987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</row>
    <row r="989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</row>
    <row r="99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</row>
    <row r="99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</row>
    <row r="995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</row>
  </sheetData>
  <mergeCells count="1">
    <mergeCell ref="I15:S15"/>
  </mergeCells>
  <conditionalFormatting sqref="I4:R13">
    <cfRule type="colorScale" priority="1">
      <colorScale>
        <cfvo type="formula" val="0"/>
        <cfvo type="percentile" val="50"/>
        <cfvo type="formula" val="1"/>
        <color rgb="FFE67C73"/>
        <color rgb="FF000000"/>
        <color rgb="FF57BB8A"/>
      </colorScale>
    </cfRule>
  </conditionalFormatting>
  <conditionalFormatting sqref="P48:W54">
    <cfRule type="colorScale" priority="2">
      <colorScale>
        <cfvo type="min"/>
        <cfvo type="formula" val="26.6"/>
        <cfvo type="max"/>
        <color rgb="FF660000"/>
        <color rgb="FF38761D"/>
        <color rgb="FF660000"/>
      </colorScale>
    </cfRule>
  </conditionalFormatting>
  <conditionalFormatting sqref="J39:J118">
    <cfRule type="colorScale" priority="3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I39:I118">
    <cfRule type="colorScale" priority="4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I39:I118">
    <cfRule type="colorScale" priority="5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B58:B115 D58:D107 B146:B166 D146:D171">
    <cfRule type="colorScale" priority="6">
      <colorScale>
        <cfvo type="min"/>
        <cfvo type="percent" val="50"/>
        <cfvo type="max"/>
        <color rgb="FF000000"/>
        <color rgb="FF274E13"/>
        <color rgb="FF38761D"/>
      </colorScale>
    </cfRule>
  </conditionalFormatting>
  <conditionalFormatting sqref="D107 D171">
    <cfRule type="colorScale" priority="7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/>
      <c r="B1" s="56"/>
      <c r="C1" s="56"/>
      <c r="D1" s="293"/>
      <c r="E1" s="293"/>
      <c r="F1" s="293"/>
      <c r="G1" s="294"/>
      <c r="H1" s="294"/>
      <c r="I1" s="294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6"/>
      <c r="B2" s="40" t="s">
        <v>315</v>
      </c>
      <c r="C2" s="40" t="s">
        <v>316</v>
      </c>
      <c r="D2" s="293"/>
      <c r="E2" s="220" t="s">
        <v>317</v>
      </c>
      <c r="F2" s="293"/>
      <c r="G2" s="294"/>
      <c r="H2" s="295" t="s">
        <v>318</v>
      </c>
      <c r="I2" s="294"/>
      <c r="J2" s="56"/>
      <c r="K2" s="40" t="s">
        <v>319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40">
        <v>800.0</v>
      </c>
      <c r="B3" s="40">
        <v>7.0</v>
      </c>
      <c r="C3" s="193" t="s">
        <v>320</v>
      </c>
      <c r="D3" s="220">
        <v>800.0</v>
      </c>
      <c r="E3" s="220">
        <v>8.0</v>
      </c>
      <c r="F3" s="296" t="s">
        <v>320</v>
      </c>
      <c r="G3" s="295">
        <v>800.0</v>
      </c>
      <c r="H3" s="295">
        <v>7.0</v>
      </c>
      <c r="I3" s="297" t="s">
        <v>320</v>
      </c>
      <c r="J3" s="56"/>
      <c r="K3" s="40" t="s">
        <v>321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40">
        <v>1600.0</v>
      </c>
      <c r="B4" s="40">
        <v>9.0</v>
      </c>
      <c r="C4" s="298">
        <f t="shared" ref="C4:C12" si="1">B4/B3-1</f>
        <v>0.2857142857</v>
      </c>
      <c r="D4" s="220">
        <v>1600.0</v>
      </c>
      <c r="E4" s="220">
        <v>10.0</v>
      </c>
      <c r="F4" s="299">
        <f t="shared" ref="F4:F12" si="2">E4/E3-1</f>
        <v>0.25</v>
      </c>
      <c r="G4" s="295">
        <v>1600.0</v>
      </c>
      <c r="H4" s="295">
        <v>11.0</v>
      </c>
      <c r="I4" s="300">
        <f t="shared" ref="I4:I12" si="3">H4/H3-1</f>
        <v>0.5714285714</v>
      </c>
      <c r="J4" s="56"/>
      <c r="K4" s="40" t="s">
        <v>322</v>
      </c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40">
        <v>2400.0</v>
      </c>
      <c r="B5" s="40">
        <v>13.0</v>
      </c>
      <c r="C5" s="298">
        <f t="shared" si="1"/>
        <v>0.4444444444</v>
      </c>
      <c r="D5" s="220">
        <v>2400.0</v>
      </c>
      <c r="E5" s="220">
        <v>13.0</v>
      </c>
      <c r="F5" s="299">
        <f t="shared" si="2"/>
        <v>0.3</v>
      </c>
      <c r="G5" s="295">
        <v>2400.0</v>
      </c>
      <c r="H5" s="295">
        <v>15.0</v>
      </c>
      <c r="I5" s="300">
        <f t="shared" si="3"/>
        <v>0.3636363636</v>
      </c>
      <c r="J5" s="56"/>
      <c r="K5" s="40" t="s">
        <v>323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40">
        <v>3200.0</v>
      </c>
      <c r="B6" s="40">
        <v>20.0</v>
      </c>
      <c r="C6" s="298">
        <f t="shared" si="1"/>
        <v>0.5384615385</v>
      </c>
      <c r="D6" s="220">
        <v>3200.0</v>
      </c>
      <c r="E6" s="220">
        <v>17.0</v>
      </c>
      <c r="F6" s="299">
        <f t="shared" si="2"/>
        <v>0.3076923077</v>
      </c>
      <c r="G6" s="295">
        <v>3200.0</v>
      </c>
      <c r="H6" s="295">
        <v>19.0</v>
      </c>
      <c r="I6" s="300">
        <f t="shared" si="3"/>
        <v>0.2666666667</v>
      </c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40">
        <v>4800.0</v>
      </c>
      <c r="B7" s="40">
        <v>29.0</v>
      </c>
      <c r="C7" s="298">
        <f t="shared" si="1"/>
        <v>0.45</v>
      </c>
      <c r="D7" s="220">
        <v>4800.0</v>
      </c>
      <c r="E7" s="220">
        <v>22.0</v>
      </c>
      <c r="F7" s="299">
        <f t="shared" si="2"/>
        <v>0.2941176471</v>
      </c>
      <c r="G7" s="295">
        <v>4800.0</v>
      </c>
      <c r="H7" s="295">
        <v>25.0</v>
      </c>
      <c r="I7" s="300">
        <f t="shared" si="3"/>
        <v>0.3157894737</v>
      </c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40">
        <v>7200.0</v>
      </c>
      <c r="B8" s="40">
        <v>40.0</v>
      </c>
      <c r="C8" s="298">
        <f t="shared" si="1"/>
        <v>0.3793103448</v>
      </c>
      <c r="D8" s="220">
        <v>7200.0</v>
      </c>
      <c r="E8" s="220">
        <v>27.0</v>
      </c>
      <c r="F8" s="299">
        <f t="shared" si="2"/>
        <v>0.2272727273</v>
      </c>
      <c r="G8" s="295">
        <v>7200.0</v>
      </c>
      <c r="H8" s="295">
        <v>32.0</v>
      </c>
      <c r="I8" s="300">
        <f t="shared" si="3"/>
        <v>0.28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40">
        <v>9600.0</v>
      </c>
      <c r="B9" s="40">
        <v>60.0</v>
      </c>
      <c r="C9" s="298">
        <f t="shared" si="1"/>
        <v>0.5</v>
      </c>
      <c r="D9" s="220">
        <v>9600.0</v>
      </c>
      <c r="E9" s="220">
        <v>32.0</v>
      </c>
      <c r="F9" s="299">
        <f t="shared" si="2"/>
        <v>0.1851851852</v>
      </c>
      <c r="G9" s="295">
        <v>9600.0</v>
      </c>
      <c r="H9" s="295">
        <v>44.0</v>
      </c>
      <c r="I9" s="300">
        <f t="shared" si="3"/>
        <v>0.375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40">
        <v>16000.0</v>
      </c>
      <c r="B10" s="40">
        <v>75.0</v>
      </c>
      <c r="C10" s="298">
        <f t="shared" si="1"/>
        <v>0.25</v>
      </c>
      <c r="D10" s="220">
        <v>16000.0</v>
      </c>
      <c r="E10" s="220">
        <v>36.0</v>
      </c>
      <c r="F10" s="299">
        <f t="shared" si="2"/>
        <v>0.125</v>
      </c>
      <c r="G10" s="295">
        <v>16000.0</v>
      </c>
      <c r="H10" s="295">
        <v>56.0</v>
      </c>
      <c r="I10" s="300">
        <f t="shared" si="3"/>
        <v>0.2727272727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40">
        <v>22400.0</v>
      </c>
      <c r="B11" s="40">
        <v>95.0</v>
      </c>
      <c r="C11" s="298">
        <f t="shared" si="1"/>
        <v>0.2666666667</v>
      </c>
      <c r="D11" s="220">
        <v>22400.0</v>
      </c>
      <c r="E11" s="220">
        <v>40.0</v>
      </c>
      <c r="F11" s="299">
        <f t="shared" si="2"/>
        <v>0.1111111111</v>
      </c>
      <c r="G11" s="295">
        <v>22400.0</v>
      </c>
      <c r="H11" s="295">
        <v>69.0</v>
      </c>
      <c r="I11" s="300">
        <f t="shared" si="3"/>
        <v>0.2321428571</v>
      </c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40">
        <v>28800.0</v>
      </c>
      <c r="B12" s="40">
        <v>115.0</v>
      </c>
      <c r="C12" s="298">
        <f t="shared" si="1"/>
        <v>0.2105263158</v>
      </c>
      <c r="D12" s="220">
        <v>28800.0</v>
      </c>
      <c r="E12" s="220">
        <v>44.0</v>
      </c>
      <c r="F12" s="299">
        <f t="shared" si="2"/>
        <v>0.1</v>
      </c>
      <c r="G12" s="295">
        <v>28800.0</v>
      </c>
      <c r="H12" s="295">
        <v>81.0</v>
      </c>
      <c r="I12" s="300">
        <f t="shared" si="3"/>
        <v>0.1739130435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56"/>
      <c r="B13" s="40">
        <v>0.0</v>
      </c>
      <c r="C13" s="56"/>
      <c r="D13" s="56"/>
      <c r="E13" s="40">
        <v>0.0</v>
      </c>
      <c r="F13" s="56"/>
      <c r="G13" s="56"/>
      <c r="H13" s="40">
        <v>0.0</v>
      </c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56"/>
      <c r="B15" s="56"/>
      <c r="C15" s="4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56"/>
      <c r="B16" s="56"/>
      <c r="C16" s="40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56"/>
      <c r="B17" s="56"/>
      <c r="C17" s="40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56"/>
      <c r="B18" s="56"/>
      <c r="C18" s="40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conditionalFormatting sqref="C4:C12">
    <cfRule type="colorScale" priority="1">
      <colorScale>
        <cfvo type="min"/>
        <cfvo type="percent" val="50"/>
        <cfvo type="max"/>
        <color rgb="FF660000"/>
        <color rgb="FF000000"/>
        <color rgb="FF274E13"/>
      </colorScale>
    </cfRule>
  </conditionalFormatting>
  <conditionalFormatting sqref="F4:F12">
    <cfRule type="colorScale" priority="2">
      <colorScale>
        <cfvo type="min"/>
        <cfvo type="percent" val="50"/>
        <cfvo type="max"/>
        <color rgb="FF660000"/>
        <color rgb="FF000000"/>
        <color rgb="FF274E13"/>
      </colorScale>
    </cfRule>
  </conditionalFormatting>
  <conditionalFormatting sqref="I4:I12">
    <cfRule type="colorScale" priority="3">
      <colorScale>
        <cfvo type="min"/>
        <cfvo type="percent" val="50"/>
        <cfvo type="max"/>
        <color rgb="FF660000"/>
        <color rgb="FF000000"/>
        <color rgb="FF274E13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301"/>
      <c r="B1" s="302"/>
      <c r="C1" s="302"/>
      <c r="D1" s="303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304" t="s">
        <v>324</v>
      </c>
      <c r="B2" s="193" t="s">
        <v>325</v>
      </c>
      <c r="C2" s="2"/>
      <c r="D2" s="305"/>
      <c r="E2" s="56"/>
      <c r="F2" s="306" t="s">
        <v>326</v>
      </c>
      <c r="G2" s="307" t="s">
        <v>327</v>
      </c>
      <c r="H2" s="307" t="s">
        <v>328</v>
      </c>
      <c r="I2" s="307" t="s">
        <v>329</v>
      </c>
      <c r="J2" s="308" t="s">
        <v>330</v>
      </c>
      <c r="K2" s="56"/>
      <c r="L2" s="56"/>
      <c r="M2" s="309" t="s">
        <v>331</v>
      </c>
      <c r="N2" s="307" t="s">
        <v>327</v>
      </c>
      <c r="O2" s="307" t="s">
        <v>328</v>
      </c>
      <c r="P2" s="308" t="s">
        <v>329</v>
      </c>
      <c r="Q2" s="193"/>
      <c r="R2" s="56"/>
      <c r="S2" s="56"/>
      <c r="T2" s="56"/>
      <c r="U2" s="56"/>
      <c r="V2" s="56"/>
      <c r="W2" s="56"/>
      <c r="X2" s="56"/>
      <c r="Y2" s="56"/>
      <c r="Z2" s="56"/>
    </row>
    <row r="3">
      <c r="A3" s="310"/>
      <c r="B3" s="193">
        <v>13000.0</v>
      </c>
      <c r="C3" s="2"/>
      <c r="D3" s="305"/>
      <c r="E3" s="56"/>
      <c r="F3" s="311" t="s">
        <v>332</v>
      </c>
      <c r="G3" s="312">
        <v>51.0</v>
      </c>
      <c r="H3" s="312">
        <v>84.0</v>
      </c>
      <c r="I3" s="312">
        <v>225.0</v>
      </c>
      <c r="J3" s="313">
        <v>327.0</v>
      </c>
      <c r="K3" s="40" t="s">
        <v>333</v>
      </c>
      <c r="L3" s="56"/>
      <c r="M3" s="311" t="s">
        <v>332</v>
      </c>
      <c r="N3" s="312">
        <v>51.0</v>
      </c>
      <c r="O3" s="312">
        <v>84.0</v>
      </c>
      <c r="P3" s="313">
        <v>225.0</v>
      </c>
      <c r="Q3" s="312"/>
      <c r="R3" s="56"/>
      <c r="S3" s="56"/>
      <c r="T3" s="56"/>
      <c r="U3" s="56"/>
      <c r="V3" s="56"/>
      <c r="W3" s="56"/>
      <c r="X3" s="56"/>
      <c r="Y3" s="56"/>
      <c r="Z3" s="56"/>
    </row>
    <row r="4">
      <c r="A4" s="314"/>
      <c r="B4" s="56"/>
      <c r="C4" s="40" t="s">
        <v>313</v>
      </c>
      <c r="D4" s="315" t="s">
        <v>334</v>
      </c>
      <c r="E4" s="56"/>
      <c r="F4" s="316" t="s">
        <v>335</v>
      </c>
      <c r="G4" s="317">
        <v>0.55</v>
      </c>
      <c r="H4" s="317">
        <v>0.91</v>
      </c>
      <c r="I4" s="317">
        <v>2.43</v>
      </c>
      <c r="J4" s="318">
        <v>3.53</v>
      </c>
      <c r="K4" s="56"/>
      <c r="L4" s="56"/>
      <c r="M4" s="316" t="s">
        <v>335</v>
      </c>
      <c r="N4" s="317">
        <v>0.55</v>
      </c>
      <c r="O4" s="317">
        <v>0.91</v>
      </c>
      <c r="P4" s="318">
        <v>2.43</v>
      </c>
      <c r="Q4" s="319"/>
      <c r="R4" s="56"/>
      <c r="S4" s="56"/>
      <c r="T4" s="56"/>
      <c r="U4" s="56"/>
      <c r="V4" s="56"/>
      <c r="W4" s="56"/>
      <c r="X4" s="56"/>
      <c r="Y4" s="56"/>
      <c r="Z4" s="56"/>
    </row>
    <row r="5">
      <c r="A5" s="314"/>
      <c r="B5" s="56"/>
      <c r="C5" s="193">
        <v>0.0</v>
      </c>
      <c r="D5" s="320">
        <v>35.0</v>
      </c>
      <c r="E5" s="56"/>
      <c r="F5" s="40">
        <v>0.0</v>
      </c>
      <c r="G5" s="321">
        <v>51.0</v>
      </c>
      <c r="H5" s="321">
        <v>84.0</v>
      </c>
      <c r="I5" s="321">
        <v>225.0</v>
      </c>
      <c r="J5" s="322">
        <v>327.0</v>
      </c>
      <c r="K5" s="56"/>
      <c r="L5" s="56"/>
      <c r="M5" s="56"/>
      <c r="N5" s="321">
        <f t="shared" ref="N5:P5" si="1">G5+G5+(G5*0.5)</f>
        <v>127.5</v>
      </c>
      <c r="O5" s="321">
        <f t="shared" si="1"/>
        <v>210</v>
      </c>
      <c r="P5" s="321">
        <f t="shared" si="1"/>
        <v>562.5</v>
      </c>
      <c r="Q5" s="323"/>
      <c r="R5" s="56"/>
      <c r="S5" s="56"/>
      <c r="T5" s="56"/>
      <c r="U5" s="56"/>
      <c r="V5" s="56"/>
      <c r="W5" s="56"/>
      <c r="X5" s="56"/>
      <c r="Y5" s="56"/>
      <c r="Z5" s="56"/>
    </row>
    <row r="6">
      <c r="A6" s="314"/>
      <c r="B6" s="56"/>
      <c r="C6" s="193">
        <v>1.0</v>
      </c>
      <c r="D6" s="320">
        <v>40.0</v>
      </c>
      <c r="E6" s="56"/>
      <c r="F6" s="40">
        <v>1.0</v>
      </c>
      <c r="G6" s="324">
        <f t="shared" ref="G6:G25" si="3">G5+0.55</f>
        <v>51.55</v>
      </c>
      <c r="H6" s="324">
        <f t="shared" ref="H6:H25" si="4">H5+0.91</f>
        <v>84.91</v>
      </c>
      <c r="I6" s="324">
        <f t="shared" ref="I6:I25" si="5">I5+2.43</f>
        <v>227.43</v>
      </c>
      <c r="J6" s="325">
        <f t="shared" ref="J6:J41" si="6">J5+3.53</f>
        <v>330.53</v>
      </c>
      <c r="K6" s="56"/>
      <c r="L6" s="56"/>
      <c r="M6" s="56"/>
      <c r="N6" s="321">
        <f t="shared" ref="N6:P6" si="2">G6+G6+(G6*0.5)</f>
        <v>128.875</v>
      </c>
      <c r="O6" s="321">
        <f t="shared" si="2"/>
        <v>212.275</v>
      </c>
      <c r="P6" s="321">
        <f t="shared" si="2"/>
        <v>568.575</v>
      </c>
      <c r="Q6" s="323"/>
      <c r="R6" s="56"/>
      <c r="S6" s="56"/>
      <c r="T6" s="56"/>
      <c r="U6" s="56"/>
      <c r="V6" s="56"/>
      <c r="W6" s="56"/>
      <c r="X6" s="56"/>
      <c r="Y6" s="56"/>
      <c r="Z6" s="56"/>
    </row>
    <row r="7">
      <c r="A7" s="314"/>
      <c r="B7" s="56"/>
      <c r="C7" s="193">
        <v>2.0</v>
      </c>
      <c r="D7" s="320">
        <v>45.0</v>
      </c>
      <c r="E7" s="56"/>
      <c r="F7" s="40">
        <v>2.0</v>
      </c>
      <c r="G7" s="324">
        <f t="shared" si="3"/>
        <v>52.1</v>
      </c>
      <c r="H7" s="324">
        <f t="shared" si="4"/>
        <v>85.82</v>
      </c>
      <c r="I7" s="324">
        <f t="shared" si="5"/>
        <v>229.86</v>
      </c>
      <c r="J7" s="325">
        <f t="shared" si="6"/>
        <v>334.06</v>
      </c>
      <c r="K7" s="56"/>
      <c r="L7" s="56"/>
      <c r="M7" s="56"/>
      <c r="N7" s="321">
        <f t="shared" ref="N7:P7" si="7">G7+G7+(G7*0.5)</f>
        <v>130.25</v>
      </c>
      <c r="O7" s="321">
        <f t="shared" si="7"/>
        <v>214.55</v>
      </c>
      <c r="P7" s="321">
        <f t="shared" si="7"/>
        <v>574.65</v>
      </c>
      <c r="Q7" s="323"/>
      <c r="R7" s="56"/>
      <c r="S7" s="56"/>
      <c r="T7" s="56"/>
      <c r="U7" s="56"/>
      <c r="V7" s="56"/>
      <c r="W7" s="56"/>
      <c r="X7" s="56"/>
      <c r="Y7" s="56"/>
      <c r="Z7" s="56"/>
    </row>
    <row r="8">
      <c r="A8" s="314"/>
      <c r="B8" s="56"/>
      <c r="C8" s="193">
        <v>3.0</v>
      </c>
      <c r="D8" s="320">
        <v>50.0</v>
      </c>
      <c r="E8" s="56"/>
      <c r="F8" s="40">
        <v>3.0</v>
      </c>
      <c r="G8" s="324">
        <f t="shared" si="3"/>
        <v>52.65</v>
      </c>
      <c r="H8" s="324">
        <f t="shared" si="4"/>
        <v>86.73</v>
      </c>
      <c r="I8" s="324">
        <f t="shared" si="5"/>
        <v>232.29</v>
      </c>
      <c r="J8" s="325">
        <f t="shared" si="6"/>
        <v>337.59</v>
      </c>
      <c r="K8" s="56"/>
      <c r="L8" s="56"/>
      <c r="M8" s="56"/>
      <c r="N8" s="321">
        <f t="shared" ref="N8:P8" si="8">G8+G8+(G8*0.5)</f>
        <v>131.625</v>
      </c>
      <c r="O8" s="321">
        <f t="shared" si="8"/>
        <v>216.825</v>
      </c>
      <c r="P8" s="321">
        <f t="shared" si="8"/>
        <v>580.725</v>
      </c>
      <c r="Q8" s="323"/>
      <c r="R8" s="56"/>
      <c r="S8" s="56"/>
      <c r="T8" s="56"/>
      <c r="U8" s="56"/>
      <c r="V8" s="56"/>
      <c r="W8" s="56"/>
      <c r="X8" s="56"/>
      <c r="Y8" s="56"/>
      <c r="Z8" s="56"/>
    </row>
    <row r="9">
      <c r="A9" s="314"/>
      <c r="B9" s="56"/>
      <c r="C9" s="193">
        <v>4.0</v>
      </c>
      <c r="D9" s="320">
        <v>55.0</v>
      </c>
      <c r="E9" s="56"/>
      <c r="F9" s="40">
        <v>4.0</v>
      </c>
      <c r="G9" s="324">
        <f t="shared" si="3"/>
        <v>53.2</v>
      </c>
      <c r="H9" s="324">
        <f t="shared" si="4"/>
        <v>87.64</v>
      </c>
      <c r="I9" s="324">
        <f t="shared" si="5"/>
        <v>234.72</v>
      </c>
      <c r="J9" s="325">
        <f t="shared" si="6"/>
        <v>341.12</v>
      </c>
      <c r="K9" s="56"/>
      <c r="L9" s="56"/>
      <c r="M9" s="56"/>
      <c r="N9" s="321">
        <f t="shared" ref="N9:P9" si="9">G9+G9+(G9*0.5)</f>
        <v>133</v>
      </c>
      <c r="O9" s="321">
        <f t="shared" si="9"/>
        <v>219.1</v>
      </c>
      <c r="P9" s="321">
        <f t="shared" si="9"/>
        <v>586.8</v>
      </c>
      <c r="Q9" s="323"/>
      <c r="R9" s="56"/>
      <c r="S9" s="56"/>
      <c r="T9" s="56"/>
      <c r="U9" s="56"/>
      <c r="V9" s="56"/>
      <c r="W9" s="56"/>
      <c r="X9" s="56"/>
      <c r="Y9" s="56"/>
      <c r="Z9" s="56"/>
    </row>
    <row r="10">
      <c r="A10" s="314"/>
      <c r="B10" s="56"/>
      <c r="C10" s="193">
        <v>5.0</v>
      </c>
      <c r="D10" s="320">
        <v>60.0</v>
      </c>
      <c r="E10" s="56"/>
      <c r="F10" s="40">
        <v>5.0</v>
      </c>
      <c r="G10" s="324">
        <f t="shared" si="3"/>
        <v>53.75</v>
      </c>
      <c r="H10" s="324">
        <f t="shared" si="4"/>
        <v>88.55</v>
      </c>
      <c r="I10" s="324">
        <f t="shared" si="5"/>
        <v>237.15</v>
      </c>
      <c r="J10" s="325">
        <f t="shared" si="6"/>
        <v>344.65</v>
      </c>
      <c r="K10" s="56"/>
      <c r="L10" s="56"/>
      <c r="M10" s="56"/>
      <c r="N10" s="321">
        <f t="shared" ref="N10:P10" si="10">G10+G10+(G10*0.5)</f>
        <v>134.375</v>
      </c>
      <c r="O10" s="321">
        <f t="shared" si="10"/>
        <v>221.375</v>
      </c>
      <c r="P10" s="321">
        <f t="shared" si="10"/>
        <v>592.875</v>
      </c>
      <c r="Q10" s="323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314"/>
      <c r="B11" s="56"/>
      <c r="C11" s="193">
        <v>6.0</v>
      </c>
      <c r="D11" s="320">
        <v>65.0</v>
      </c>
      <c r="E11" s="56"/>
      <c r="F11" s="40">
        <v>6.0</v>
      </c>
      <c r="G11" s="324">
        <f t="shared" si="3"/>
        <v>54.3</v>
      </c>
      <c r="H11" s="324">
        <f t="shared" si="4"/>
        <v>89.46</v>
      </c>
      <c r="I11" s="324">
        <f t="shared" si="5"/>
        <v>239.58</v>
      </c>
      <c r="J11" s="325">
        <f t="shared" si="6"/>
        <v>348.18</v>
      </c>
      <c r="K11" s="56"/>
      <c r="L11" s="56"/>
      <c r="M11" s="56"/>
      <c r="N11" s="321">
        <f t="shared" ref="N11:P11" si="11">G11+G11+(G11*0.5)</f>
        <v>135.75</v>
      </c>
      <c r="O11" s="321">
        <f t="shared" si="11"/>
        <v>223.65</v>
      </c>
      <c r="P11" s="321">
        <f t="shared" si="11"/>
        <v>598.95</v>
      </c>
      <c r="Q11" s="323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314"/>
      <c r="B12" s="56"/>
      <c r="C12" s="193">
        <v>7.0</v>
      </c>
      <c r="D12" s="320">
        <v>70.0</v>
      </c>
      <c r="E12" s="56"/>
      <c r="F12" s="326">
        <v>7.0</v>
      </c>
      <c r="G12" s="327">
        <f t="shared" si="3"/>
        <v>54.85</v>
      </c>
      <c r="H12" s="327">
        <f t="shared" si="4"/>
        <v>90.37</v>
      </c>
      <c r="I12" s="327">
        <f t="shared" si="5"/>
        <v>242.01</v>
      </c>
      <c r="J12" s="328">
        <f t="shared" si="6"/>
        <v>351.71</v>
      </c>
      <c r="K12" s="56"/>
      <c r="L12" s="56"/>
      <c r="M12" s="56"/>
      <c r="N12" s="329">
        <f t="shared" ref="N12:P12" si="12">G12+G12+(G12*0.5)</f>
        <v>137.125</v>
      </c>
      <c r="O12" s="329">
        <f t="shared" si="12"/>
        <v>225.925</v>
      </c>
      <c r="P12" s="329">
        <f t="shared" si="12"/>
        <v>605.025</v>
      </c>
      <c r="Q12" s="323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330"/>
      <c r="B13" s="2"/>
      <c r="C13" s="193">
        <v>8.0</v>
      </c>
      <c r="D13" s="320">
        <v>75.0</v>
      </c>
      <c r="E13" s="56"/>
      <c r="F13" s="331">
        <v>8.0</v>
      </c>
      <c r="G13" s="332">
        <f t="shared" si="3"/>
        <v>55.4</v>
      </c>
      <c r="H13" s="332">
        <f t="shared" si="4"/>
        <v>91.28</v>
      </c>
      <c r="I13" s="332">
        <f t="shared" si="5"/>
        <v>244.44</v>
      </c>
      <c r="J13" s="325">
        <f t="shared" si="6"/>
        <v>355.24</v>
      </c>
      <c r="K13" s="40" t="s">
        <v>336</v>
      </c>
      <c r="L13" s="56"/>
      <c r="M13" s="56"/>
      <c r="N13" s="333">
        <f t="shared" ref="N13:P13" si="13">G13+G13+(G13*0.5)</f>
        <v>138.5</v>
      </c>
      <c r="O13" s="333">
        <f t="shared" si="13"/>
        <v>228.2</v>
      </c>
      <c r="P13" s="333">
        <f t="shared" si="13"/>
        <v>611.1</v>
      </c>
      <c r="Q13" s="40" t="s">
        <v>336</v>
      </c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314"/>
      <c r="B14" s="56"/>
      <c r="C14" s="193">
        <v>9.0</v>
      </c>
      <c r="D14" s="320">
        <v>80.0</v>
      </c>
      <c r="E14" s="56"/>
      <c r="F14" s="40">
        <v>9.0</v>
      </c>
      <c r="G14" s="324">
        <f t="shared" si="3"/>
        <v>55.95</v>
      </c>
      <c r="H14" s="324">
        <f t="shared" si="4"/>
        <v>92.19</v>
      </c>
      <c r="I14" s="324">
        <f t="shared" si="5"/>
        <v>246.87</v>
      </c>
      <c r="J14" s="325">
        <f t="shared" si="6"/>
        <v>358.77</v>
      </c>
      <c r="K14" s="56"/>
      <c r="L14" s="56"/>
      <c r="M14" s="56"/>
      <c r="N14" s="321">
        <f t="shared" ref="N14:P14" si="14">G14+G14+(G14*0.5)</f>
        <v>139.875</v>
      </c>
      <c r="O14" s="321">
        <f t="shared" si="14"/>
        <v>230.475</v>
      </c>
      <c r="P14" s="321">
        <f t="shared" si="14"/>
        <v>617.175</v>
      </c>
      <c r="Q14" s="323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334" t="s">
        <v>337</v>
      </c>
      <c r="B15" s="40" t="s">
        <v>338</v>
      </c>
      <c r="C15" s="312">
        <v>10.0</v>
      </c>
      <c r="D15" s="335">
        <v>85.0</v>
      </c>
      <c r="E15" s="56"/>
      <c r="F15" s="40">
        <v>10.0</v>
      </c>
      <c r="G15" s="324">
        <f t="shared" si="3"/>
        <v>56.5</v>
      </c>
      <c r="H15" s="324">
        <f t="shared" si="4"/>
        <v>93.1</v>
      </c>
      <c r="I15" s="324">
        <f t="shared" si="5"/>
        <v>249.3</v>
      </c>
      <c r="J15" s="325">
        <f t="shared" si="6"/>
        <v>362.3</v>
      </c>
      <c r="K15" s="56"/>
      <c r="L15" s="56"/>
      <c r="M15" s="56"/>
      <c r="N15" s="321">
        <f t="shared" ref="N15:P15" si="15">G15+G15+(G15*0.5)</f>
        <v>141.25</v>
      </c>
      <c r="O15" s="321">
        <f t="shared" si="15"/>
        <v>232.75</v>
      </c>
      <c r="P15" s="321">
        <f t="shared" si="15"/>
        <v>623.25</v>
      </c>
      <c r="Q15" s="323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314"/>
      <c r="B16" s="56"/>
      <c r="C16" s="193">
        <v>11.0</v>
      </c>
      <c r="D16" s="320">
        <v>90.0</v>
      </c>
      <c r="E16" s="56"/>
      <c r="F16" s="40">
        <v>11.0</v>
      </c>
      <c r="G16" s="324">
        <f t="shared" si="3"/>
        <v>57.05</v>
      </c>
      <c r="H16" s="324">
        <f t="shared" si="4"/>
        <v>94.01</v>
      </c>
      <c r="I16" s="324">
        <f t="shared" si="5"/>
        <v>251.73</v>
      </c>
      <c r="J16" s="325">
        <f t="shared" si="6"/>
        <v>365.83</v>
      </c>
      <c r="K16" s="56"/>
      <c r="L16" s="56"/>
      <c r="M16" s="56"/>
      <c r="N16" s="321">
        <f t="shared" ref="N16:P16" si="16">G16+G16+(G16*0.5)</f>
        <v>142.625</v>
      </c>
      <c r="O16" s="321">
        <f t="shared" si="16"/>
        <v>235.025</v>
      </c>
      <c r="P16" s="321">
        <f t="shared" si="16"/>
        <v>629.325</v>
      </c>
      <c r="Q16" s="323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314"/>
      <c r="B17" s="56"/>
      <c r="C17" s="193">
        <v>12.0</v>
      </c>
      <c r="D17" s="320">
        <v>95.0</v>
      </c>
      <c r="E17" s="56"/>
      <c r="F17" s="40">
        <v>12.0</v>
      </c>
      <c r="G17" s="324">
        <f t="shared" si="3"/>
        <v>57.6</v>
      </c>
      <c r="H17" s="324">
        <f t="shared" si="4"/>
        <v>94.92</v>
      </c>
      <c r="I17" s="324">
        <f t="shared" si="5"/>
        <v>254.16</v>
      </c>
      <c r="J17" s="325">
        <f t="shared" si="6"/>
        <v>369.36</v>
      </c>
      <c r="K17" s="56"/>
      <c r="L17" s="56"/>
      <c r="M17" s="56"/>
      <c r="N17" s="321">
        <f t="shared" ref="N17:P17" si="17">G17+G17+(G17*0.5)</f>
        <v>144</v>
      </c>
      <c r="O17" s="321">
        <f t="shared" si="17"/>
        <v>237.3</v>
      </c>
      <c r="P17" s="321">
        <f t="shared" si="17"/>
        <v>635.4</v>
      </c>
      <c r="Q17" s="323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314"/>
      <c r="B18" s="56"/>
      <c r="C18" s="193">
        <v>13.0</v>
      </c>
      <c r="D18" s="320">
        <v>100.0</v>
      </c>
      <c r="E18" s="56"/>
      <c r="F18" s="40">
        <v>13.0</v>
      </c>
      <c r="G18" s="324">
        <f t="shared" si="3"/>
        <v>58.15</v>
      </c>
      <c r="H18" s="324">
        <f t="shared" si="4"/>
        <v>95.83</v>
      </c>
      <c r="I18" s="324">
        <f t="shared" si="5"/>
        <v>256.59</v>
      </c>
      <c r="J18" s="325">
        <f t="shared" si="6"/>
        <v>372.89</v>
      </c>
      <c r="K18" s="56"/>
      <c r="L18" s="56"/>
      <c r="M18" s="56"/>
      <c r="N18" s="321">
        <f t="shared" ref="N18:P18" si="18">G18+G18+(G18*0.5)</f>
        <v>145.375</v>
      </c>
      <c r="O18" s="321">
        <f t="shared" si="18"/>
        <v>239.575</v>
      </c>
      <c r="P18" s="321">
        <f t="shared" si="18"/>
        <v>641.475</v>
      </c>
      <c r="Q18" s="323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314"/>
      <c r="B19" s="56"/>
      <c r="C19" s="193">
        <v>14.0</v>
      </c>
      <c r="D19" s="320">
        <v>105.0</v>
      </c>
      <c r="E19" s="56"/>
      <c r="F19" s="40">
        <v>14.0</v>
      </c>
      <c r="G19" s="324">
        <f t="shared" si="3"/>
        <v>58.7</v>
      </c>
      <c r="H19" s="324">
        <f t="shared" si="4"/>
        <v>96.74</v>
      </c>
      <c r="I19" s="324">
        <f t="shared" si="5"/>
        <v>259.02</v>
      </c>
      <c r="J19" s="325">
        <f t="shared" si="6"/>
        <v>376.42</v>
      </c>
      <c r="K19" s="56"/>
      <c r="L19" s="56"/>
      <c r="M19" s="56"/>
      <c r="N19" s="321">
        <f t="shared" ref="N19:P19" si="19">G19+G19+(G19*0.5)</f>
        <v>146.75</v>
      </c>
      <c r="O19" s="321">
        <f t="shared" si="19"/>
        <v>241.85</v>
      </c>
      <c r="P19" s="321">
        <f t="shared" si="19"/>
        <v>647.55</v>
      </c>
      <c r="Q19" s="323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314"/>
      <c r="B20" s="56"/>
      <c r="C20" s="193">
        <v>15.0</v>
      </c>
      <c r="D20" s="320">
        <v>110.0</v>
      </c>
      <c r="E20" s="56"/>
      <c r="F20" s="40">
        <v>15.0</v>
      </c>
      <c r="G20" s="324">
        <f t="shared" si="3"/>
        <v>59.25</v>
      </c>
      <c r="H20" s="324">
        <f t="shared" si="4"/>
        <v>97.65</v>
      </c>
      <c r="I20" s="324">
        <f t="shared" si="5"/>
        <v>261.45</v>
      </c>
      <c r="J20" s="325">
        <f t="shared" si="6"/>
        <v>379.95</v>
      </c>
      <c r="K20" s="56"/>
      <c r="L20" s="56"/>
      <c r="M20" s="56"/>
      <c r="N20" s="321">
        <f t="shared" ref="N20:P20" si="20">G20+G20+(G20*0.5)</f>
        <v>148.125</v>
      </c>
      <c r="O20" s="321">
        <f t="shared" si="20"/>
        <v>244.125</v>
      </c>
      <c r="P20" s="321">
        <f t="shared" si="20"/>
        <v>653.625</v>
      </c>
      <c r="Q20" s="323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314"/>
      <c r="B21" s="56"/>
      <c r="C21" s="193">
        <v>16.0</v>
      </c>
      <c r="D21" s="320">
        <v>115.0</v>
      </c>
      <c r="E21" s="56"/>
      <c r="F21" s="40">
        <v>16.0</v>
      </c>
      <c r="G21" s="324">
        <f t="shared" si="3"/>
        <v>59.8</v>
      </c>
      <c r="H21" s="324">
        <f t="shared" si="4"/>
        <v>98.56</v>
      </c>
      <c r="I21" s="324">
        <f t="shared" si="5"/>
        <v>263.88</v>
      </c>
      <c r="J21" s="325">
        <f t="shared" si="6"/>
        <v>383.48</v>
      </c>
      <c r="K21" s="56"/>
      <c r="L21" s="56"/>
      <c r="M21" s="56"/>
      <c r="N21" s="321">
        <f t="shared" ref="N21:P21" si="21">G21+G21+(G21*0.5)</f>
        <v>149.5</v>
      </c>
      <c r="O21" s="321">
        <f t="shared" si="21"/>
        <v>246.4</v>
      </c>
      <c r="P21" s="321">
        <f t="shared" si="21"/>
        <v>659.7</v>
      </c>
      <c r="Q21" s="323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314"/>
      <c r="B22" s="56"/>
      <c r="C22" s="193">
        <v>17.0</v>
      </c>
      <c r="D22" s="320">
        <v>120.0</v>
      </c>
      <c r="E22" s="56"/>
      <c r="F22" s="40">
        <v>17.0</v>
      </c>
      <c r="G22" s="324">
        <f t="shared" si="3"/>
        <v>60.35</v>
      </c>
      <c r="H22" s="324">
        <f t="shared" si="4"/>
        <v>99.47</v>
      </c>
      <c r="I22" s="324">
        <f t="shared" si="5"/>
        <v>266.31</v>
      </c>
      <c r="J22" s="325">
        <f t="shared" si="6"/>
        <v>387.01</v>
      </c>
      <c r="K22" s="56"/>
      <c r="L22" s="56"/>
      <c r="M22" s="56"/>
      <c r="N22" s="321">
        <f t="shared" ref="N22:P22" si="22">G22+G22+(G22*0.5)</f>
        <v>150.875</v>
      </c>
      <c r="O22" s="321">
        <f t="shared" si="22"/>
        <v>248.675</v>
      </c>
      <c r="P22" s="321">
        <f t="shared" si="22"/>
        <v>665.775</v>
      </c>
      <c r="Q22" s="323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314"/>
      <c r="B23" s="56"/>
      <c r="C23" s="193">
        <v>18.0</v>
      </c>
      <c r="D23" s="320">
        <v>125.0</v>
      </c>
      <c r="E23" s="56"/>
      <c r="F23" s="40">
        <v>18.0</v>
      </c>
      <c r="G23" s="324">
        <f t="shared" si="3"/>
        <v>60.9</v>
      </c>
      <c r="H23" s="324">
        <f t="shared" si="4"/>
        <v>100.38</v>
      </c>
      <c r="I23" s="324">
        <f t="shared" si="5"/>
        <v>268.74</v>
      </c>
      <c r="J23" s="325">
        <f t="shared" si="6"/>
        <v>390.54</v>
      </c>
      <c r="K23" s="56"/>
      <c r="L23" s="56"/>
      <c r="M23" s="56"/>
      <c r="N23" s="321">
        <f t="shared" ref="N23:P23" si="23">G23+G23+(G23*0.5)</f>
        <v>152.25</v>
      </c>
      <c r="O23" s="321">
        <f t="shared" si="23"/>
        <v>250.95</v>
      </c>
      <c r="P23" s="321">
        <f t="shared" si="23"/>
        <v>671.85</v>
      </c>
      <c r="Q23" s="323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314"/>
      <c r="B24" s="56"/>
      <c r="C24" s="193">
        <v>19.0</v>
      </c>
      <c r="D24" s="320">
        <v>130.0</v>
      </c>
      <c r="E24" s="56"/>
      <c r="F24" s="40">
        <v>19.0</v>
      </c>
      <c r="G24" s="324">
        <f t="shared" si="3"/>
        <v>61.45</v>
      </c>
      <c r="H24" s="324">
        <f t="shared" si="4"/>
        <v>101.29</v>
      </c>
      <c r="I24" s="324">
        <f t="shared" si="5"/>
        <v>271.17</v>
      </c>
      <c r="J24" s="325">
        <f t="shared" si="6"/>
        <v>394.07</v>
      </c>
      <c r="K24" s="56"/>
      <c r="L24" s="56"/>
      <c r="M24" s="56"/>
      <c r="N24" s="321">
        <f t="shared" ref="N24:P24" si="24">G24+G24+(G24*0.5)</f>
        <v>153.625</v>
      </c>
      <c r="O24" s="321">
        <f t="shared" si="24"/>
        <v>253.225</v>
      </c>
      <c r="P24" s="321">
        <f t="shared" si="24"/>
        <v>677.925</v>
      </c>
      <c r="Q24" s="323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314"/>
      <c r="B25" s="56"/>
      <c r="C25" s="193">
        <v>20.0</v>
      </c>
      <c r="D25" s="320">
        <v>135.0</v>
      </c>
      <c r="E25" s="56"/>
      <c r="F25" s="40">
        <v>20.0</v>
      </c>
      <c r="G25" s="324">
        <f t="shared" si="3"/>
        <v>62</v>
      </c>
      <c r="H25" s="324">
        <f t="shared" si="4"/>
        <v>102.2</v>
      </c>
      <c r="I25" s="324">
        <f t="shared" si="5"/>
        <v>273.6</v>
      </c>
      <c r="J25" s="325">
        <f t="shared" si="6"/>
        <v>397.6</v>
      </c>
      <c r="K25" s="56"/>
      <c r="L25" s="56"/>
      <c r="M25" s="56"/>
      <c r="N25" s="321">
        <f t="shared" ref="N25:P25" si="25">G25+G25+(G25*0.5)</f>
        <v>155</v>
      </c>
      <c r="O25" s="321">
        <f t="shared" si="25"/>
        <v>255.5</v>
      </c>
      <c r="P25" s="321">
        <f t="shared" si="25"/>
        <v>684</v>
      </c>
      <c r="Q25" s="323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314"/>
      <c r="B26" s="56"/>
      <c r="C26" s="193">
        <v>21.0</v>
      </c>
      <c r="D26" s="320">
        <v>140.0</v>
      </c>
      <c r="E26" s="56"/>
      <c r="F26" s="40">
        <v>21.0</v>
      </c>
      <c r="G26" s="321">
        <v>52.0</v>
      </c>
      <c r="H26" s="321">
        <v>85.0</v>
      </c>
      <c r="I26" s="321">
        <v>226.0</v>
      </c>
      <c r="J26" s="325">
        <f t="shared" si="6"/>
        <v>401.13</v>
      </c>
      <c r="K26" s="56"/>
      <c r="L26" s="56"/>
      <c r="M26" s="56"/>
      <c r="N26" s="321">
        <f t="shared" ref="N26:P26" si="26">G26+G26+(G26*0.5)</f>
        <v>130</v>
      </c>
      <c r="O26" s="321">
        <f t="shared" si="26"/>
        <v>212.5</v>
      </c>
      <c r="P26" s="321">
        <f t="shared" si="26"/>
        <v>565</v>
      </c>
      <c r="Q26" s="323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314"/>
      <c r="B27" s="56"/>
      <c r="C27" s="193">
        <v>22.0</v>
      </c>
      <c r="D27" s="320">
        <v>145.0</v>
      </c>
      <c r="E27" s="56"/>
      <c r="F27" s="40">
        <v>22.0</v>
      </c>
      <c r="G27" s="324">
        <f t="shared" ref="G27:G41" si="28">G26+0.55</f>
        <v>52.55</v>
      </c>
      <c r="H27" s="324">
        <f t="shared" ref="H27:H41" si="29">H26+0.91</f>
        <v>85.91</v>
      </c>
      <c r="I27" s="324">
        <f t="shared" ref="I27:I41" si="30">I26+2.43</f>
        <v>228.43</v>
      </c>
      <c r="J27" s="325">
        <f t="shared" si="6"/>
        <v>404.66</v>
      </c>
      <c r="K27" s="56"/>
      <c r="L27" s="56"/>
      <c r="M27" s="56"/>
      <c r="N27" s="321">
        <f t="shared" ref="N27:P27" si="27">G27+G27+(G27*0.5)</f>
        <v>131.375</v>
      </c>
      <c r="O27" s="321">
        <f t="shared" si="27"/>
        <v>214.775</v>
      </c>
      <c r="P27" s="321">
        <f t="shared" si="27"/>
        <v>571.075</v>
      </c>
      <c r="Q27" s="323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314"/>
      <c r="B28" s="56"/>
      <c r="C28" s="193">
        <v>23.0</v>
      </c>
      <c r="D28" s="320">
        <v>150.0</v>
      </c>
      <c r="E28" s="56"/>
      <c r="F28" s="40">
        <v>23.0</v>
      </c>
      <c r="G28" s="324">
        <f t="shared" si="28"/>
        <v>53.1</v>
      </c>
      <c r="H28" s="324">
        <f t="shared" si="29"/>
        <v>86.82</v>
      </c>
      <c r="I28" s="324">
        <f t="shared" si="30"/>
        <v>230.86</v>
      </c>
      <c r="J28" s="325">
        <f t="shared" si="6"/>
        <v>408.19</v>
      </c>
      <c r="K28" s="56"/>
      <c r="L28" s="56"/>
      <c r="M28" s="56"/>
      <c r="N28" s="321">
        <f t="shared" ref="N28:P28" si="31">G28+G28+(G28*0.5)</f>
        <v>132.75</v>
      </c>
      <c r="O28" s="321">
        <f t="shared" si="31"/>
        <v>217.05</v>
      </c>
      <c r="P28" s="321">
        <f t="shared" si="31"/>
        <v>577.15</v>
      </c>
      <c r="Q28" s="323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314"/>
      <c r="B29" s="56"/>
      <c r="C29" s="193">
        <v>24.0</v>
      </c>
      <c r="D29" s="320">
        <v>155.0</v>
      </c>
      <c r="E29" s="56"/>
      <c r="F29" s="40">
        <v>24.0</v>
      </c>
      <c r="G29" s="324">
        <f t="shared" si="28"/>
        <v>53.65</v>
      </c>
      <c r="H29" s="324">
        <f t="shared" si="29"/>
        <v>87.73</v>
      </c>
      <c r="I29" s="324">
        <f t="shared" si="30"/>
        <v>233.29</v>
      </c>
      <c r="J29" s="325">
        <f t="shared" si="6"/>
        <v>411.72</v>
      </c>
      <c r="K29" s="56"/>
      <c r="L29" s="56"/>
      <c r="M29" s="56"/>
      <c r="N29" s="321">
        <f t="shared" ref="N29:P29" si="32">G29+G29+(G29*0.5)</f>
        <v>134.125</v>
      </c>
      <c r="O29" s="321">
        <f t="shared" si="32"/>
        <v>219.325</v>
      </c>
      <c r="P29" s="321">
        <f t="shared" si="32"/>
        <v>583.225</v>
      </c>
      <c r="Q29" s="323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314"/>
      <c r="B30" s="56"/>
      <c r="C30" s="193">
        <v>25.0</v>
      </c>
      <c r="D30" s="320">
        <v>160.0</v>
      </c>
      <c r="E30" s="56"/>
      <c r="F30" s="40">
        <v>25.0</v>
      </c>
      <c r="G30" s="324">
        <f t="shared" si="28"/>
        <v>54.2</v>
      </c>
      <c r="H30" s="324">
        <f t="shared" si="29"/>
        <v>88.64</v>
      </c>
      <c r="I30" s="324">
        <f t="shared" si="30"/>
        <v>235.72</v>
      </c>
      <c r="J30" s="325">
        <f t="shared" si="6"/>
        <v>415.25</v>
      </c>
      <c r="K30" s="56"/>
      <c r="L30" s="56"/>
      <c r="M30" s="56"/>
      <c r="N30" s="321">
        <f t="shared" ref="N30:P30" si="33">G30+G30+(G30*0.5)</f>
        <v>135.5</v>
      </c>
      <c r="O30" s="321">
        <f t="shared" si="33"/>
        <v>221.6</v>
      </c>
      <c r="P30" s="321">
        <f t="shared" si="33"/>
        <v>589.3</v>
      </c>
      <c r="Q30" s="323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314"/>
      <c r="B31" s="56"/>
      <c r="C31" s="193">
        <v>26.0</v>
      </c>
      <c r="D31" s="320">
        <v>165.0</v>
      </c>
      <c r="E31" s="56"/>
      <c r="F31" s="40">
        <v>26.0</v>
      </c>
      <c r="G31" s="324">
        <f t="shared" si="28"/>
        <v>54.75</v>
      </c>
      <c r="H31" s="324">
        <f t="shared" si="29"/>
        <v>89.55</v>
      </c>
      <c r="I31" s="324">
        <f t="shared" si="30"/>
        <v>238.15</v>
      </c>
      <c r="J31" s="325">
        <f t="shared" si="6"/>
        <v>418.78</v>
      </c>
      <c r="K31" s="56"/>
      <c r="L31" s="56"/>
      <c r="M31" s="56"/>
      <c r="N31" s="321">
        <f t="shared" ref="N31:P31" si="34">G31+G31+(G31*0.5)</f>
        <v>136.875</v>
      </c>
      <c r="O31" s="321">
        <f t="shared" si="34"/>
        <v>223.875</v>
      </c>
      <c r="P31" s="321">
        <f t="shared" si="34"/>
        <v>595.375</v>
      </c>
      <c r="Q31" s="323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314"/>
      <c r="B32" s="56"/>
      <c r="C32" s="193">
        <v>27.0</v>
      </c>
      <c r="D32" s="320">
        <v>170.0</v>
      </c>
      <c r="E32" s="56"/>
      <c r="F32" s="40">
        <v>27.0</v>
      </c>
      <c r="G32" s="324">
        <f t="shared" si="28"/>
        <v>55.3</v>
      </c>
      <c r="H32" s="324">
        <f t="shared" si="29"/>
        <v>90.46</v>
      </c>
      <c r="I32" s="324">
        <f t="shared" si="30"/>
        <v>240.58</v>
      </c>
      <c r="J32" s="325">
        <f t="shared" si="6"/>
        <v>422.31</v>
      </c>
      <c r="K32" s="56"/>
      <c r="L32" s="56"/>
      <c r="M32" s="56"/>
      <c r="N32" s="321">
        <f t="shared" ref="N32:P32" si="35">G32+G32+(G32*0.5)</f>
        <v>138.25</v>
      </c>
      <c r="O32" s="321">
        <f t="shared" si="35"/>
        <v>226.15</v>
      </c>
      <c r="P32" s="321">
        <f t="shared" si="35"/>
        <v>601.45</v>
      </c>
      <c r="Q32" s="323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314"/>
      <c r="B33" s="56"/>
      <c r="C33" s="193">
        <v>28.0</v>
      </c>
      <c r="D33" s="320">
        <v>175.0</v>
      </c>
      <c r="E33" s="56"/>
      <c r="F33" s="40">
        <v>28.0</v>
      </c>
      <c r="G33" s="324">
        <f t="shared" si="28"/>
        <v>55.85</v>
      </c>
      <c r="H33" s="324">
        <f t="shared" si="29"/>
        <v>91.37</v>
      </c>
      <c r="I33" s="324">
        <f t="shared" si="30"/>
        <v>243.01</v>
      </c>
      <c r="J33" s="325">
        <f t="shared" si="6"/>
        <v>425.84</v>
      </c>
      <c r="K33" s="56"/>
      <c r="L33" s="56"/>
      <c r="M33" s="56"/>
      <c r="N33" s="321">
        <f t="shared" ref="N33:P33" si="36">G33+G33+(G33*0.5)</f>
        <v>139.625</v>
      </c>
      <c r="O33" s="321">
        <f t="shared" si="36"/>
        <v>228.425</v>
      </c>
      <c r="P33" s="321">
        <f t="shared" si="36"/>
        <v>607.525</v>
      </c>
      <c r="Q33" s="323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314"/>
      <c r="B34" s="56"/>
      <c r="C34" s="193">
        <v>29.0</v>
      </c>
      <c r="D34" s="320">
        <v>180.0</v>
      </c>
      <c r="E34" s="56"/>
      <c r="F34" s="40">
        <v>29.0</v>
      </c>
      <c r="G34" s="324">
        <f t="shared" si="28"/>
        <v>56.4</v>
      </c>
      <c r="H34" s="324">
        <f t="shared" si="29"/>
        <v>92.28</v>
      </c>
      <c r="I34" s="324">
        <f t="shared" si="30"/>
        <v>245.44</v>
      </c>
      <c r="J34" s="325">
        <f t="shared" si="6"/>
        <v>429.37</v>
      </c>
      <c r="K34" s="56"/>
      <c r="L34" s="56"/>
      <c r="M34" s="56"/>
      <c r="N34" s="321">
        <f t="shared" ref="N34:P34" si="37">G34+G34+(G34*0.5)</f>
        <v>141</v>
      </c>
      <c r="O34" s="321">
        <f t="shared" si="37"/>
        <v>230.7</v>
      </c>
      <c r="P34" s="321">
        <f t="shared" si="37"/>
        <v>613.6</v>
      </c>
      <c r="Q34" s="323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336"/>
      <c r="B35" s="337"/>
      <c r="C35" s="338">
        <v>30.0</v>
      </c>
      <c r="D35" s="339">
        <v>185.0</v>
      </c>
      <c r="E35" s="56"/>
      <c r="F35" s="40">
        <v>30.0</v>
      </c>
      <c r="G35" s="324">
        <f t="shared" si="28"/>
        <v>56.95</v>
      </c>
      <c r="H35" s="324">
        <f t="shared" si="29"/>
        <v>93.19</v>
      </c>
      <c r="I35" s="324">
        <f t="shared" si="30"/>
        <v>247.87</v>
      </c>
      <c r="J35" s="325">
        <f t="shared" si="6"/>
        <v>432.9</v>
      </c>
      <c r="K35" s="56"/>
      <c r="L35" s="56"/>
      <c r="M35" s="56"/>
      <c r="N35" s="321">
        <f t="shared" ref="N35:P35" si="38">G35+G35+(G35*0.5)</f>
        <v>142.375</v>
      </c>
      <c r="O35" s="321">
        <f t="shared" si="38"/>
        <v>232.975</v>
      </c>
      <c r="P35" s="321">
        <f t="shared" si="38"/>
        <v>619.675</v>
      </c>
      <c r="Q35" s="323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56"/>
      <c r="B36" s="56"/>
      <c r="C36" s="56"/>
      <c r="D36" s="56"/>
      <c r="E36" s="56"/>
      <c r="F36" s="40">
        <v>31.0</v>
      </c>
      <c r="G36" s="324">
        <f t="shared" si="28"/>
        <v>57.5</v>
      </c>
      <c r="H36" s="324">
        <f t="shared" si="29"/>
        <v>94.1</v>
      </c>
      <c r="I36" s="324">
        <f t="shared" si="30"/>
        <v>250.3</v>
      </c>
      <c r="J36" s="325">
        <f t="shared" si="6"/>
        <v>436.43</v>
      </c>
      <c r="K36" s="56"/>
      <c r="L36" s="56"/>
      <c r="M36" s="56"/>
      <c r="N36" s="321">
        <f t="shared" ref="N36:P36" si="39">G36+G36+(G36*0.5)</f>
        <v>143.75</v>
      </c>
      <c r="O36" s="321">
        <f t="shared" si="39"/>
        <v>235.25</v>
      </c>
      <c r="P36" s="321">
        <f t="shared" si="39"/>
        <v>625.75</v>
      </c>
      <c r="Q36" s="323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40" t="s">
        <v>339</v>
      </c>
      <c r="B37" s="56"/>
      <c r="C37" s="56"/>
      <c r="D37" s="56"/>
      <c r="E37" s="56"/>
      <c r="F37" s="40">
        <v>32.0</v>
      </c>
      <c r="G37" s="324">
        <f t="shared" si="28"/>
        <v>58.05</v>
      </c>
      <c r="H37" s="324">
        <f t="shared" si="29"/>
        <v>95.01</v>
      </c>
      <c r="I37" s="324">
        <f t="shared" si="30"/>
        <v>252.73</v>
      </c>
      <c r="J37" s="325">
        <f t="shared" si="6"/>
        <v>439.96</v>
      </c>
      <c r="K37" s="56"/>
      <c r="L37" s="56"/>
      <c r="M37" s="56"/>
      <c r="N37" s="321">
        <f t="shared" ref="N37:P37" si="40">G37+G37+(G37*0.5)</f>
        <v>145.125</v>
      </c>
      <c r="O37" s="321">
        <f t="shared" si="40"/>
        <v>237.525</v>
      </c>
      <c r="P37" s="321">
        <f t="shared" si="40"/>
        <v>631.825</v>
      </c>
      <c r="Q37" s="323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340" t="s">
        <v>340</v>
      </c>
      <c r="B38" s="341" t="s">
        <v>341</v>
      </c>
      <c r="C38" s="56"/>
      <c r="D38" s="56"/>
      <c r="E38" s="56"/>
      <c r="F38" s="40">
        <v>33.0</v>
      </c>
      <c r="G38" s="324">
        <f t="shared" si="28"/>
        <v>58.6</v>
      </c>
      <c r="H38" s="324">
        <f t="shared" si="29"/>
        <v>95.92</v>
      </c>
      <c r="I38" s="324">
        <f t="shared" si="30"/>
        <v>255.16</v>
      </c>
      <c r="J38" s="325">
        <f t="shared" si="6"/>
        <v>443.49</v>
      </c>
      <c r="K38" s="56"/>
      <c r="L38" s="56"/>
      <c r="M38" s="56"/>
      <c r="N38" s="321">
        <f t="shared" ref="N38:P38" si="41">G38+G38+(G38*0.5)</f>
        <v>146.5</v>
      </c>
      <c r="O38" s="321">
        <f t="shared" si="41"/>
        <v>239.8</v>
      </c>
      <c r="P38" s="321">
        <f t="shared" si="41"/>
        <v>637.9</v>
      </c>
      <c r="Q38" s="323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334" t="s">
        <v>342</v>
      </c>
      <c r="B39" s="320">
        <v>50.0</v>
      </c>
      <c r="C39" s="56"/>
      <c r="D39" s="56"/>
      <c r="E39" s="56"/>
      <c r="F39" s="40">
        <v>34.0</v>
      </c>
      <c r="G39" s="324">
        <f t="shared" si="28"/>
        <v>59.15</v>
      </c>
      <c r="H39" s="324">
        <f t="shared" si="29"/>
        <v>96.83</v>
      </c>
      <c r="I39" s="324">
        <f t="shared" si="30"/>
        <v>257.59</v>
      </c>
      <c r="J39" s="325">
        <f t="shared" si="6"/>
        <v>447.02</v>
      </c>
      <c r="K39" s="56"/>
      <c r="L39" s="56"/>
      <c r="M39" s="56"/>
      <c r="N39" s="321">
        <f t="shared" ref="N39:P39" si="42">G39+G39+(G39*0.5)</f>
        <v>147.875</v>
      </c>
      <c r="O39" s="321">
        <f t="shared" si="42"/>
        <v>242.075</v>
      </c>
      <c r="P39" s="321">
        <f t="shared" si="42"/>
        <v>643.975</v>
      </c>
      <c r="Q39" s="323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334" t="s">
        <v>343</v>
      </c>
      <c r="B40" s="320">
        <v>65.0</v>
      </c>
      <c r="C40" s="56"/>
      <c r="D40" s="56"/>
      <c r="E40" s="56"/>
      <c r="F40" s="40">
        <v>35.0</v>
      </c>
      <c r="G40" s="324">
        <f t="shared" si="28"/>
        <v>59.7</v>
      </c>
      <c r="H40" s="324">
        <f t="shared" si="29"/>
        <v>97.74</v>
      </c>
      <c r="I40" s="324">
        <f t="shared" si="30"/>
        <v>260.02</v>
      </c>
      <c r="J40" s="325">
        <f t="shared" si="6"/>
        <v>450.55</v>
      </c>
      <c r="K40" s="56"/>
      <c r="L40" s="56"/>
      <c r="M40" s="56"/>
      <c r="N40" s="321">
        <f t="shared" ref="N40:P40" si="43">G40+G40+(G40*0.5)</f>
        <v>149.25</v>
      </c>
      <c r="O40" s="321">
        <f t="shared" si="43"/>
        <v>244.35</v>
      </c>
      <c r="P40" s="321">
        <f t="shared" si="43"/>
        <v>650.05</v>
      </c>
      <c r="Q40" s="323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334" t="s">
        <v>344</v>
      </c>
      <c r="B41" s="320">
        <v>128.0</v>
      </c>
      <c r="C41" s="56"/>
      <c r="D41" s="56"/>
      <c r="E41" s="56"/>
      <c r="F41" s="40">
        <v>36.0</v>
      </c>
      <c r="G41" s="324">
        <f t="shared" si="28"/>
        <v>60.25</v>
      </c>
      <c r="H41" s="324">
        <f t="shared" si="29"/>
        <v>98.65</v>
      </c>
      <c r="I41" s="324">
        <f t="shared" si="30"/>
        <v>262.45</v>
      </c>
      <c r="J41" s="325">
        <f t="shared" si="6"/>
        <v>454.08</v>
      </c>
      <c r="K41" s="56"/>
      <c r="L41" s="56"/>
      <c r="M41" s="56"/>
      <c r="N41" s="321">
        <f t="shared" ref="N41:P41" si="44">G41+G41+(G41*0.5)</f>
        <v>150.625</v>
      </c>
      <c r="O41" s="321">
        <f t="shared" si="44"/>
        <v>246.625</v>
      </c>
      <c r="P41" s="321">
        <f t="shared" si="44"/>
        <v>656.125</v>
      </c>
      <c r="Q41" s="323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314"/>
      <c r="B42" s="342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334" t="s">
        <v>345</v>
      </c>
      <c r="B43" s="342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334" t="s">
        <v>342</v>
      </c>
      <c r="B44" s="320">
        <v>28.0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334" t="s">
        <v>343</v>
      </c>
      <c r="B45" s="320">
        <v>28.0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343" t="s">
        <v>344</v>
      </c>
      <c r="B46" s="339">
        <v>32.5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40" t="s">
        <v>346</v>
      </c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40">
        <v>0.0</v>
      </c>
      <c r="C51" s="40">
        <v>75.0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40">
        <v>1.0</v>
      </c>
      <c r="C52" s="56">
        <f t="shared" ref="C52:C70" si="45">C51-6.25</f>
        <v>68.75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40">
        <v>2.0</v>
      </c>
      <c r="C53" s="56">
        <f t="shared" si="45"/>
        <v>62.5</v>
      </c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40">
        <v>3.0</v>
      </c>
      <c r="C54" s="56">
        <f t="shared" si="45"/>
        <v>56.25</v>
      </c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40">
        <v>4.0</v>
      </c>
      <c r="C55" s="56">
        <f t="shared" si="45"/>
        <v>50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40">
        <v>5.0</v>
      </c>
      <c r="C56" s="56">
        <f t="shared" si="45"/>
        <v>43.75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40">
        <v>6.0</v>
      </c>
      <c r="C57" s="56">
        <f t="shared" si="45"/>
        <v>37.5</v>
      </c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40">
        <v>7.0</v>
      </c>
      <c r="C58" s="56">
        <f t="shared" si="45"/>
        <v>31.25</v>
      </c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40">
        <v>8.0</v>
      </c>
      <c r="C59" s="56">
        <f t="shared" si="45"/>
        <v>25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40">
        <v>9.0</v>
      </c>
      <c r="C60" s="56">
        <f t="shared" si="45"/>
        <v>18.75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40">
        <v>10.0</v>
      </c>
      <c r="C61" s="56">
        <f t="shared" si="45"/>
        <v>12.5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40">
        <v>11.0</v>
      </c>
      <c r="C62" s="56">
        <f t="shared" si="45"/>
        <v>6.25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40">
        <v>12.0</v>
      </c>
      <c r="C63" s="56">
        <f t="shared" si="45"/>
        <v>0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40">
        <v>13.0</v>
      </c>
      <c r="C64" s="56">
        <f t="shared" si="45"/>
        <v>-6.25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40">
        <v>14.0</v>
      </c>
      <c r="C65" s="56">
        <f t="shared" si="45"/>
        <v>-12.5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40">
        <v>15.0</v>
      </c>
      <c r="C66" s="56">
        <f t="shared" si="45"/>
        <v>-18.75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40">
        <v>16.0</v>
      </c>
      <c r="C67" s="56">
        <f t="shared" si="45"/>
        <v>-25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40">
        <v>17.0</v>
      </c>
      <c r="C68" s="56">
        <f t="shared" si="45"/>
        <v>-31.25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40">
        <v>18.0</v>
      </c>
      <c r="C69" s="56">
        <f t="shared" si="45"/>
        <v>-37.5</v>
      </c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40">
        <v>19.0</v>
      </c>
      <c r="C70" s="56">
        <f t="shared" si="45"/>
        <v>-43.75</v>
      </c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40">
        <v>20.0</v>
      </c>
      <c r="C71" s="40">
        <v>-50.0</v>
      </c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</cols>
  <sheetData>
    <row r="1">
      <c r="A1" s="36" t="s">
        <v>102</v>
      </c>
      <c r="B1" s="37"/>
      <c r="C1" s="38"/>
      <c r="D1" s="37"/>
      <c r="E1" s="38" t="s">
        <v>103</v>
      </c>
      <c r="F1" s="39">
        <v>0.13</v>
      </c>
      <c r="G1" s="41" t="s">
        <v>104</v>
      </c>
      <c r="H1" s="42">
        <f>B17</f>
        <v>0.45</v>
      </c>
      <c r="I1" s="40"/>
      <c r="J1" s="56"/>
      <c r="K1" s="43"/>
      <c r="L1" s="2"/>
      <c r="M1" s="44"/>
      <c r="N1" s="43"/>
      <c r="O1" s="43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3" t="s">
        <v>110</v>
      </c>
      <c r="B2" s="43" t="s">
        <v>59</v>
      </c>
      <c r="C2" s="43" t="s">
        <v>111</v>
      </c>
      <c r="D2" s="43">
        <f>VLOOKUP(B2, Heroes!$A$6:$H$48, 2, FALSE)</f>
        <v>18.8</v>
      </c>
      <c r="E2" s="40" t="s">
        <v>112</v>
      </c>
      <c r="F2" s="54">
        <v>0.13</v>
      </c>
      <c r="G2" s="43" t="s">
        <v>114</v>
      </c>
      <c r="H2" s="43"/>
      <c r="I2" s="233">
        <f>VLOOKUP(B2, Heroes!$A$6:$S$48, 19, FALSE)*B3</f>
        <v>27.36</v>
      </c>
      <c r="J2" s="56"/>
      <c r="K2" s="2"/>
      <c r="L2" s="2"/>
      <c r="M2" s="43"/>
      <c r="N2" s="43"/>
      <c r="O2" s="233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53" t="s">
        <v>116</v>
      </c>
      <c r="B3" s="43">
        <v>24.0</v>
      </c>
      <c r="C3" s="43" t="s">
        <v>10</v>
      </c>
      <c r="D3" s="43">
        <f>VLOOKUP(B2, Heroes!$A$6:$H$48, 3, FALSE)</f>
        <v>1</v>
      </c>
      <c r="E3" s="40" t="s">
        <v>117</v>
      </c>
      <c r="F3" s="54">
        <v>0.0</v>
      </c>
      <c r="G3" s="43" t="s">
        <v>118</v>
      </c>
      <c r="H3" s="47"/>
      <c r="I3" s="179">
        <f>I2+D2</f>
        <v>46.16</v>
      </c>
      <c r="J3" s="56"/>
      <c r="K3" s="2"/>
      <c r="L3" s="2"/>
      <c r="M3" s="43"/>
      <c r="N3" s="47"/>
      <c r="O3" s="179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69"/>
      <c r="B4" s="43"/>
      <c r="C4" s="43" t="s">
        <v>121</v>
      </c>
      <c r="D4" s="43">
        <f>VLOOKUP(B2, Heroes!$A$6:$H$48, 7, FALSE)</f>
        <v>2.12</v>
      </c>
      <c r="E4" s="40" t="s">
        <v>122</v>
      </c>
      <c r="F4" s="54">
        <v>0.0</v>
      </c>
      <c r="G4" s="47"/>
      <c r="H4" s="47"/>
      <c r="I4" s="47"/>
      <c r="J4" s="56"/>
      <c r="K4" s="2"/>
      <c r="L4" s="2"/>
      <c r="M4" s="47"/>
      <c r="N4" s="47"/>
      <c r="O4" s="47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53" t="s">
        <v>126</v>
      </c>
      <c r="B5" s="43">
        <f>VLOOKUP(B2, Heroes!$A$6:$H$48, 6, FALSE)</f>
        <v>10</v>
      </c>
      <c r="C5" s="47"/>
      <c r="D5" s="43"/>
      <c r="E5" s="40" t="s">
        <v>127</v>
      </c>
      <c r="F5" s="54">
        <v>0.0</v>
      </c>
      <c r="G5" s="47"/>
      <c r="H5" s="47"/>
      <c r="I5" s="47"/>
      <c r="J5" s="56"/>
      <c r="K5" s="2"/>
      <c r="L5" s="2"/>
      <c r="M5" s="47"/>
      <c r="N5" s="47"/>
      <c r="O5" s="47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53" t="s">
        <v>128</v>
      </c>
      <c r="B6" s="72">
        <v>1.0</v>
      </c>
      <c r="C6" s="43" t="s">
        <v>129</v>
      </c>
      <c r="D6" s="73">
        <v>1.0</v>
      </c>
      <c r="E6" s="40" t="s">
        <v>130</v>
      </c>
      <c r="F6" s="74">
        <f>1-(1-F1)*(1-F2)*(1-F3)*(1-F4)*(1-F5)</f>
        <v>0.2431</v>
      </c>
      <c r="G6" s="43" t="s">
        <v>131</v>
      </c>
      <c r="H6" s="75">
        <f>I3*(1+D6)</f>
        <v>92.32</v>
      </c>
      <c r="I6" s="47"/>
      <c r="J6" s="56"/>
      <c r="K6" s="2"/>
      <c r="L6" s="2"/>
      <c r="M6" s="43"/>
      <c r="N6" s="75"/>
      <c r="O6" s="47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53" t="s">
        <v>133</v>
      </c>
      <c r="B7" s="77">
        <f>B5+(B5*B6)</f>
        <v>20</v>
      </c>
      <c r="C7" s="43" t="s">
        <v>134</v>
      </c>
      <c r="D7" s="78">
        <v>0.5</v>
      </c>
      <c r="E7" s="2"/>
      <c r="F7" s="79"/>
      <c r="G7" s="81" t="s">
        <v>136</v>
      </c>
      <c r="H7" s="82">
        <f>D4*(1+D7)</f>
        <v>3.18</v>
      </c>
      <c r="I7" s="47"/>
      <c r="J7" s="56"/>
      <c r="K7" s="2"/>
      <c r="L7" s="2"/>
      <c r="M7" s="43"/>
      <c r="N7" s="168"/>
      <c r="O7" s="47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84"/>
      <c r="B8" s="85"/>
      <c r="C8" s="43" t="s">
        <v>137</v>
      </c>
      <c r="D8" s="86">
        <f>H8</f>
        <v>293.5776</v>
      </c>
      <c r="E8" s="87" t="s">
        <v>138</v>
      </c>
      <c r="F8" s="88">
        <f>H1-F6</f>
        <v>0.2069</v>
      </c>
      <c r="G8" s="43" t="s">
        <v>139</v>
      </c>
      <c r="H8" s="61">
        <f>H6*H7</f>
        <v>293.5776</v>
      </c>
      <c r="I8" s="47"/>
      <c r="J8" s="56"/>
      <c r="K8" s="2"/>
      <c r="L8" s="2"/>
      <c r="M8" s="43"/>
      <c r="N8" s="61"/>
      <c r="O8" s="47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40" t="s">
        <v>135</v>
      </c>
      <c r="B9" s="80">
        <f>B7/H7</f>
        <v>6.289308176</v>
      </c>
      <c r="C9" s="344"/>
      <c r="D9" s="47"/>
      <c r="E9" s="47"/>
      <c r="F9" s="2"/>
      <c r="G9" s="2"/>
      <c r="H9" s="56"/>
      <c r="I9" s="56"/>
      <c r="J9" s="56"/>
      <c r="K9" s="47"/>
      <c r="L9" s="47"/>
      <c r="M9" s="89"/>
      <c r="N9" s="47"/>
      <c r="O9" s="9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43" t="s">
        <v>347</v>
      </c>
      <c r="B10" s="289">
        <f>B7*H6</f>
        <v>1846.4</v>
      </c>
      <c r="C10" s="43"/>
      <c r="D10" s="92"/>
      <c r="E10" s="47"/>
      <c r="F10" s="93" t="s">
        <v>141</v>
      </c>
      <c r="G10" s="94">
        <f>D8*(F8*-1)+D8</f>
        <v>232.8363946</v>
      </c>
      <c r="H10" s="89"/>
      <c r="I10" s="95"/>
      <c r="J10" s="95"/>
      <c r="K10" s="47"/>
      <c r="L10" s="47"/>
      <c r="M10" s="47"/>
      <c r="N10" s="47"/>
      <c r="O10" s="47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43"/>
      <c r="B11" s="47"/>
      <c r="C11" s="43"/>
      <c r="D11" s="47"/>
      <c r="E11" s="96"/>
      <c r="F11" s="2"/>
      <c r="G11" s="2"/>
      <c r="H11" s="47"/>
      <c r="I11" s="47"/>
      <c r="J11" s="47"/>
      <c r="K11" s="47"/>
      <c r="L11" s="47"/>
      <c r="M11" s="95"/>
      <c r="N11" s="47"/>
      <c r="O11" s="9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345" t="s">
        <v>348</v>
      </c>
      <c r="B12" s="346"/>
      <c r="C12" s="346"/>
      <c r="D12" s="346"/>
      <c r="E12" s="346"/>
      <c r="F12" s="347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348" t="s">
        <v>110</v>
      </c>
      <c r="B13" s="349" t="s">
        <v>57</v>
      </c>
      <c r="C13" s="349" t="s">
        <v>349</v>
      </c>
      <c r="D13" s="350">
        <f>VLOOKUP(B13, Heroes!$A$6:$AA$48, 13, FALSE)</f>
        <v>630</v>
      </c>
      <c r="E13" s="349" t="s">
        <v>350</v>
      </c>
      <c r="F13" s="351">
        <f>VLOOKUP(B13, Heroes!$A$6:$AA$48, 20, FALSE)</f>
        <v>28</v>
      </c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348" t="s">
        <v>116</v>
      </c>
      <c r="B14" s="349">
        <v>1.0</v>
      </c>
      <c r="C14" s="349" t="s">
        <v>351</v>
      </c>
      <c r="D14" s="350">
        <f>F13*B14+D13</f>
        <v>658</v>
      </c>
      <c r="E14" s="349" t="s">
        <v>352</v>
      </c>
      <c r="F14" s="352">
        <v>500.0</v>
      </c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348" t="s">
        <v>353</v>
      </c>
      <c r="B15" s="353">
        <v>0.0</v>
      </c>
      <c r="C15" s="349" t="s">
        <v>354</v>
      </c>
      <c r="D15" s="354">
        <f>D14*(B15/100)+D14+F14</f>
        <v>1158</v>
      </c>
      <c r="E15" s="56"/>
      <c r="F15" s="355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356"/>
      <c r="B16" s="357"/>
      <c r="C16" s="357"/>
      <c r="D16" s="357"/>
      <c r="E16" s="357"/>
      <c r="F16" s="358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359" t="s">
        <v>355</v>
      </c>
      <c r="B17" s="360">
        <v>0.45</v>
      </c>
      <c r="C17" s="361"/>
      <c r="D17" s="361"/>
      <c r="E17" s="361"/>
      <c r="F17" s="362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357"/>
      <c r="B18" s="357"/>
      <c r="C18" s="357"/>
      <c r="D18" s="357"/>
      <c r="E18" s="357"/>
      <c r="F18" s="357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363" t="s">
        <v>356</v>
      </c>
      <c r="B19" s="364">
        <f>D15/G10</f>
        <v>4.973449285</v>
      </c>
      <c r="C19" s="363" t="s">
        <v>357</v>
      </c>
      <c r="D19" s="365"/>
      <c r="E19" s="366" t="s">
        <v>300</v>
      </c>
      <c r="F19" s="365"/>
      <c r="G19" s="367" t="s">
        <v>358</v>
      </c>
      <c r="H19" s="368" t="s">
        <v>359</v>
      </c>
      <c r="I19" s="368" t="s">
        <v>360</v>
      </c>
      <c r="J19" s="193" t="s">
        <v>361</v>
      </c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363" t="s">
        <v>362</v>
      </c>
      <c r="B20" s="369" t="str">
        <f>if(B19&gt;B9,"no","yes")</f>
        <v>yes</v>
      </c>
      <c r="C20" s="363" t="s">
        <v>363</v>
      </c>
      <c r="D20" s="370">
        <v>0.5</v>
      </c>
      <c r="E20" s="371">
        <f>G10*D20</f>
        <v>116.4181973</v>
      </c>
      <c r="F20" s="365"/>
      <c r="G20" s="372">
        <f>E22</f>
        <v>132.1346539</v>
      </c>
      <c r="H20" s="373">
        <f>B25</f>
        <v>2</v>
      </c>
      <c r="I20" s="374">
        <f>B24</f>
        <v>923.2</v>
      </c>
      <c r="J20" s="80">
        <f>D15/G20</f>
        <v>8.763787286</v>
      </c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363" t="s">
        <v>359</v>
      </c>
      <c r="B21" s="375">
        <f>roundup(B19/B9,0)</f>
        <v>1</v>
      </c>
      <c r="C21" s="363" t="s">
        <v>364</v>
      </c>
      <c r="D21" s="376">
        <v>0.15</v>
      </c>
      <c r="E21" s="371">
        <f>(E20*D21)*D22</f>
        <v>15.71645663</v>
      </c>
      <c r="F21" s="363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365"/>
      <c r="B22" s="365"/>
      <c r="C22" s="363" t="s">
        <v>365</v>
      </c>
      <c r="D22" s="377">
        <v>0.9</v>
      </c>
      <c r="E22" s="371">
        <f>E20+E21</f>
        <v>132.1346539</v>
      </c>
      <c r="F22" s="365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363" t="s">
        <v>366</v>
      </c>
      <c r="B23" s="378">
        <f>D15/(E21+E20)</f>
        <v>8.763787286</v>
      </c>
      <c r="C23" s="365"/>
      <c r="D23" s="365"/>
      <c r="E23" s="365"/>
      <c r="F23" s="365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363" t="s">
        <v>367</v>
      </c>
      <c r="B24" s="375">
        <f>B10*D20</f>
        <v>923.2</v>
      </c>
      <c r="C24" s="365"/>
      <c r="D24" s="365"/>
      <c r="E24" s="365"/>
      <c r="F24" s="365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363" t="s">
        <v>368</v>
      </c>
      <c r="B25" s="375">
        <f>roundup(D15/B24,0)</f>
        <v>2</v>
      </c>
      <c r="C25" s="365"/>
      <c r="D25" s="365"/>
      <c r="E25" s="365"/>
      <c r="F25" s="365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365"/>
      <c r="B26" s="365"/>
      <c r="C26" s="365"/>
      <c r="D26" s="365"/>
      <c r="E26" s="365"/>
      <c r="F26" s="365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365"/>
      <c r="B27" s="365"/>
      <c r="C27" s="365"/>
      <c r="D27" s="365"/>
      <c r="E27" s="365"/>
      <c r="F27" s="365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365"/>
      <c r="B28" s="365"/>
      <c r="C28" s="365"/>
      <c r="D28" s="365"/>
      <c r="E28" s="365"/>
      <c r="F28" s="365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conditionalFormatting sqref="F8">
    <cfRule type="colorScale" priority="1">
      <colorScale>
        <cfvo type="formula" val="-0.5"/>
        <cfvo type="formula" val="0.5"/>
        <color rgb="FF38761D"/>
        <color rgb="FF990000"/>
      </colorScale>
    </cfRule>
  </conditionalFormatting>
  <conditionalFormatting sqref="F1:F5">
    <cfRule type="notContainsText" dxfId="5" priority="2" operator="notContains" text="0">
      <formula>ISERROR(SEARCH(("0"),(F1)))</formula>
    </cfRule>
  </conditionalFormatting>
  <dataValidations>
    <dataValidation type="list" allowBlank="1" showErrorMessage="1" sqref="B2 B13">
      <formula1>Table1[Hero Name]</formula1>
    </dataValidation>
    <dataValidation type="decimal" operator="lessThan" allowBlank="1" showDropDown="1" showErrorMessage="1" sqref="B3 B14">
      <formula1>34.0</formula1>
    </dataValidation>
    <dataValidation type="list" allowBlank="1" showErrorMessage="1" sqref="B15">
      <formula1>shopBonuses!$E$3:$E$13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4.38"/>
    <col customWidth="1" min="3" max="3" width="14.75"/>
  </cols>
  <sheetData>
    <row r="1">
      <c r="A1" s="379" t="s">
        <v>369</v>
      </c>
      <c r="B1" s="380">
        <v>17.0</v>
      </c>
      <c r="C1" s="47"/>
      <c r="D1" s="47"/>
      <c r="E1" s="2"/>
      <c r="F1" s="43"/>
      <c r="G1" s="43" t="s">
        <v>293</v>
      </c>
      <c r="H1" s="47"/>
      <c r="I1" s="47"/>
      <c r="J1" s="47"/>
      <c r="K1" s="47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233" t="s">
        <v>294</v>
      </c>
      <c r="B2" s="233" t="s">
        <v>295</v>
      </c>
      <c r="C2" s="43" t="s">
        <v>296</v>
      </c>
      <c r="D2" s="43" t="s">
        <v>108</v>
      </c>
      <c r="E2" s="275" t="s">
        <v>297</v>
      </c>
      <c r="F2" s="45" t="s">
        <v>298</v>
      </c>
      <c r="G2" s="276" t="s">
        <v>295</v>
      </c>
      <c r="H2" s="45" t="s">
        <v>296</v>
      </c>
      <c r="I2" s="45" t="s">
        <v>299</v>
      </c>
      <c r="J2" s="45" t="s">
        <v>370</v>
      </c>
      <c r="K2" s="45" t="s">
        <v>371</v>
      </c>
      <c r="L2" s="46" t="s">
        <v>372</v>
      </c>
      <c r="M2" s="381" t="s">
        <v>373</v>
      </c>
      <c r="N2" s="381" t="s">
        <v>374</v>
      </c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233">
        <v>0.32</v>
      </c>
      <c r="B3" s="233">
        <f>VLOOKUP("haze", Heroes!$A$6:$H$53, 2, FALSE)+VLOOKUP("haze", Heroes!$A$6:$AC$53, 19, FALSE)*B1</f>
        <v>7.64</v>
      </c>
      <c r="C3" s="250">
        <v>1.0</v>
      </c>
      <c r="D3" s="250">
        <v>0.2</v>
      </c>
      <c r="E3" s="277">
        <v>1.0</v>
      </c>
      <c r="F3" s="47">
        <f t="shared" ref="F3:F82" si="1">E3*$A$3</f>
        <v>0.32</v>
      </c>
      <c r="G3" s="47">
        <f t="shared" ref="G3:G82" si="2">$B$3</f>
        <v>7.64</v>
      </c>
      <c r="H3" s="47">
        <f t="shared" ref="H3:H82" si="3">G3+G3*$C$3</f>
        <v>15.28</v>
      </c>
      <c r="I3" s="47">
        <f t="shared" ref="I3:I82" si="4">H3+F3</f>
        <v>15.6</v>
      </c>
      <c r="J3" s="47">
        <f t="shared" ref="J3:J82" si="5">$C$6*I3</f>
        <v>390</v>
      </c>
      <c r="K3" s="47">
        <f t="shared" ref="K3:K82" si="6">J3*(1+$D$3)</f>
        <v>468</v>
      </c>
      <c r="L3" s="70">
        <f t="shared" ref="L3:L82" si="7">$C$6*(G3+F3)*(1+$D$3)</f>
        <v>238.8</v>
      </c>
      <c r="M3" s="382">
        <f t="shared" ref="M3:M82" si="8">$A$6*(H3+F3)*(1+$D$3)</f>
        <v>187.2</v>
      </c>
      <c r="N3" s="382">
        <f t="shared" ref="N3:N82" si="9">$A$6*(F3+G3)</f>
        <v>79.6</v>
      </c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383" t="s">
        <v>375</v>
      </c>
      <c r="B4" s="47"/>
      <c r="C4" s="47"/>
      <c r="D4" s="47"/>
      <c r="E4" s="277">
        <v>2.0</v>
      </c>
      <c r="F4" s="47">
        <f t="shared" si="1"/>
        <v>0.64</v>
      </c>
      <c r="G4" s="47">
        <f t="shared" si="2"/>
        <v>7.64</v>
      </c>
      <c r="H4" s="47">
        <f t="shared" si="3"/>
        <v>15.28</v>
      </c>
      <c r="I4" s="47">
        <f t="shared" si="4"/>
        <v>15.92</v>
      </c>
      <c r="J4" s="47">
        <f t="shared" si="5"/>
        <v>398</v>
      </c>
      <c r="K4" s="47">
        <f t="shared" si="6"/>
        <v>477.6</v>
      </c>
      <c r="L4" s="70">
        <f t="shared" si="7"/>
        <v>248.4</v>
      </c>
      <c r="M4" s="382">
        <f t="shared" si="8"/>
        <v>191.04</v>
      </c>
      <c r="N4" s="382">
        <f t="shared" si="9"/>
        <v>82.8</v>
      </c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233" t="s">
        <v>80</v>
      </c>
      <c r="B5" s="43" t="s">
        <v>301</v>
      </c>
      <c r="C5" s="43" t="s">
        <v>302</v>
      </c>
      <c r="D5" s="43" t="s">
        <v>303</v>
      </c>
      <c r="E5" s="277">
        <v>3.0</v>
      </c>
      <c r="F5" s="47">
        <f t="shared" si="1"/>
        <v>0.96</v>
      </c>
      <c r="G5" s="47">
        <f t="shared" si="2"/>
        <v>7.64</v>
      </c>
      <c r="H5" s="47">
        <f t="shared" si="3"/>
        <v>15.28</v>
      </c>
      <c r="I5" s="47">
        <f t="shared" si="4"/>
        <v>16.24</v>
      </c>
      <c r="J5" s="47">
        <f t="shared" si="5"/>
        <v>406</v>
      </c>
      <c r="K5" s="47">
        <f t="shared" si="6"/>
        <v>487.2</v>
      </c>
      <c r="L5" s="70">
        <f t="shared" si="7"/>
        <v>258</v>
      </c>
      <c r="M5" s="382">
        <f t="shared" si="8"/>
        <v>194.88</v>
      </c>
      <c r="N5" s="382">
        <f t="shared" si="9"/>
        <v>86</v>
      </c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233">
        <v>10.0</v>
      </c>
      <c r="B6" s="250">
        <v>1.5</v>
      </c>
      <c r="C6" s="47">
        <f>A6+A6*B6</f>
        <v>25</v>
      </c>
      <c r="D6" s="278">
        <f>80/C6</f>
        <v>3.2</v>
      </c>
      <c r="E6" s="277">
        <v>4.0</v>
      </c>
      <c r="F6" s="47">
        <f t="shared" si="1"/>
        <v>1.28</v>
      </c>
      <c r="G6" s="47">
        <f t="shared" si="2"/>
        <v>7.64</v>
      </c>
      <c r="H6" s="47">
        <f t="shared" si="3"/>
        <v>15.28</v>
      </c>
      <c r="I6" s="47">
        <f t="shared" si="4"/>
        <v>16.56</v>
      </c>
      <c r="J6" s="47">
        <f t="shared" si="5"/>
        <v>414</v>
      </c>
      <c r="K6" s="47">
        <f t="shared" si="6"/>
        <v>496.8</v>
      </c>
      <c r="L6" s="70">
        <f t="shared" si="7"/>
        <v>267.6</v>
      </c>
      <c r="M6" s="382">
        <f t="shared" si="8"/>
        <v>198.72</v>
      </c>
      <c r="N6" s="382">
        <f t="shared" si="9"/>
        <v>89.2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47"/>
      <c r="B7" s="47"/>
      <c r="C7" s="47"/>
      <c r="D7" s="47"/>
      <c r="E7" s="277">
        <v>5.0</v>
      </c>
      <c r="F7" s="47">
        <f t="shared" si="1"/>
        <v>1.6</v>
      </c>
      <c r="G7" s="47">
        <f t="shared" si="2"/>
        <v>7.64</v>
      </c>
      <c r="H7" s="47">
        <f t="shared" si="3"/>
        <v>15.28</v>
      </c>
      <c r="I7" s="47">
        <f t="shared" si="4"/>
        <v>16.88</v>
      </c>
      <c r="J7" s="47">
        <f t="shared" si="5"/>
        <v>422</v>
      </c>
      <c r="K7" s="47">
        <f t="shared" si="6"/>
        <v>506.4</v>
      </c>
      <c r="L7" s="70">
        <f t="shared" si="7"/>
        <v>277.2</v>
      </c>
      <c r="M7" s="382">
        <f t="shared" si="8"/>
        <v>202.56</v>
      </c>
      <c r="N7" s="382">
        <f t="shared" si="9"/>
        <v>92.4</v>
      </c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384" t="s">
        <v>376</v>
      </c>
      <c r="B8" s="276" t="s">
        <v>377</v>
      </c>
      <c r="C8" s="385" t="s">
        <v>378</v>
      </c>
      <c r="D8" s="233"/>
      <c r="E8" s="277">
        <v>6.0</v>
      </c>
      <c r="F8" s="47">
        <f t="shared" si="1"/>
        <v>1.92</v>
      </c>
      <c r="G8" s="47">
        <f t="shared" si="2"/>
        <v>7.64</v>
      </c>
      <c r="H8" s="47">
        <f t="shared" si="3"/>
        <v>15.28</v>
      </c>
      <c r="I8" s="47">
        <f t="shared" si="4"/>
        <v>17.2</v>
      </c>
      <c r="J8" s="47">
        <f t="shared" si="5"/>
        <v>430</v>
      </c>
      <c r="K8" s="47">
        <f t="shared" si="6"/>
        <v>516</v>
      </c>
      <c r="L8" s="70">
        <f t="shared" si="7"/>
        <v>286.8</v>
      </c>
      <c r="M8" s="382">
        <f t="shared" si="8"/>
        <v>206.4</v>
      </c>
      <c r="N8" s="382">
        <f t="shared" si="9"/>
        <v>95.6</v>
      </c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386">
        <f>B3*0.05</f>
        <v>0.382</v>
      </c>
      <c r="B9" s="233">
        <f>B3*0.25</f>
        <v>1.91</v>
      </c>
      <c r="C9" s="387">
        <f>B3*0.5</f>
        <v>3.82</v>
      </c>
      <c r="D9" s="47"/>
      <c r="E9" s="277">
        <v>7.0</v>
      </c>
      <c r="F9" s="47">
        <f t="shared" si="1"/>
        <v>2.24</v>
      </c>
      <c r="G9" s="47">
        <f t="shared" si="2"/>
        <v>7.64</v>
      </c>
      <c r="H9" s="47">
        <f t="shared" si="3"/>
        <v>15.28</v>
      </c>
      <c r="I9" s="47">
        <f t="shared" si="4"/>
        <v>17.52</v>
      </c>
      <c r="J9" s="47">
        <f t="shared" si="5"/>
        <v>438</v>
      </c>
      <c r="K9" s="47">
        <f t="shared" si="6"/>
        <v>525.6</v>
      </c>
      <c r="L9" s="70">
        <f t="shared" si="7"/>
        <v>296.4</v>
      </c>
      <c r="M9" s="382">
        <f t="shared" si="8"/>
        <v>210.24</v>
      </c>
      <c r="N9" s="382">
        <f t="shared" si="9"/>
        <v>98.8</v>
      </c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277"/>
      <c r="B10" s="250"/>
      <c r="C10" s="70"/>
      <c r="D10" s="47"/>
      <c r="E10" s="277">
        <v>8.0</v>
      </c>
      <c r="F10" s="47">
        <f t="shared" si="1"/>
        <v>2.56</v>
      </c>
      <c r="G10" s="47">
        <f t="shared" si="2"/>
        <v>7.64</v>
      </c>
      <c r="H10" s="47">
        <f t="shared" si="3"/>
        <v>15.28</v>
      </c>
      <c r="I10" s="47">
        <f t="shared" si="4"/>
        <v>17.84</v>
      </c>
      <c r="J10" s="47">
        <f t="shared" si="5"/>
        <v>446</v>
      </c>
      <c r="K10" s="47">
        <f t="shared" si="6"/>
        <v>535.2</v>
      </c>
      <c r="L10" s="70">
        <f t="shared" si="7"/>
        <v>306</v>
      </c>
      <c r="M10" s="382">
        <f t="shared" si="8"/>
        <v>214.08</v>
      </c>
      <c r="N10" s="382">
        <f t="shared" si="9"/>
        <v>102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277" t="s">
        <v>379</v>
      </c>
      <c r="B11" s="250"/>
      <c r="C11" s="70"/>
      <c r="D11" s="47"/>
      <c r="E11" s="277">
        <v>9.0</v>
      </c>
      <c r="F11" s="47">
        <f t="shared" si="1"/>
        <v>2.88</v>
      </c>
      <c r="G11" s="47">
        <f t="shared" si="2"/>
        <v>7.64</v>
      </c>
      <c r="H11" s="47">
        <f t="shared" si="3"/>
        <v>15.28</v>
      </c>
      <c r="I11" s="47">
        <f t="shared" si="4"/>
        <v>18.16</v>
      </c>
      <c r="J11" s="47">
        <f t="shared" si="5"/>
        <v>454</v>
      </c>
      <c r="K11" s="47">
        <f t="shared" si="6"/>
        <v>544.8</v>
      </c>
      <c r="L11" s="70">
        <f t="shared" si="7"/>
        <v>315.6</v>
      </c>
      <c r="M11" s="382">
        <f t="shared" si="8"/>
        <v>217.92</v>
      </c>
      <c r="N11" s="382">
        <f t="shared" si="9"/>
        <v>105.2</v>
      </c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388">
        <f>A9/A3</f>
        <v>1.19375</v>
      </c>
      <c r="B12" s="389">
        <f>B9/A3</f>
        <v>5.96875</v>
      </c>
      <c r="C12" s="390">
        <f>C9/A3</f>
        <v>11.9375</v>
      </c>
      <c r="D12" s="47"/>
      <c r="E12" s="277">
        <v>10.0</v>
      </c>
      <c r="F12" s="47">
        <f t="shared" si="1"/>
        <v>3.2</v>
      </c>
      <c r="G12" s="47">
        <f t="shared" si="2"/>
        <v>7.64</v>
      </c>
      <c r="H12" s="47">
        <f t="shared" si="3"/>
        <v>15.28</v>
      </c>
      <c r="I12" s="47">
        <f t="shared" si="4"/>
        <v>18.48</v>
      </c>
      <c r="J12" s="47">
        <f t="shared" si="5"/>
        <v>462</v>
      </c>
      <c r="K12" s="47">
        <f t="shared" si="6"/>
        <v>554.4</v>
      </c>
      <c r="L12" s="70">
        <f t="shared" si="7"/>
        <v>325.2</v>
      </c>
      <c r="M12" s="382">
        <f t="shared" si="8"/>
        <v>221.76</v>
      </c>
      <c r="N12" s="382">
        <f t="shared" si="9"/>
        <v>108.4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43"/>
      <c r="B13" s="250"/>
      <c r="C13" s="47"/>
      <c r="D13" s="47"/>
      <c r="E13" s="277">
        <v>11.0</v>
      </c>
      <c r="F13" s="47">
        <f t="shared" si="1"/>
        <v>3.52</v>
      </c>
      <c r="G13" s="47">
        <f t="shared" si="2"/>
        <v>7.64</v>
      </c>
      <c r="H13" s="47">
        <f t="shared" si="3"/>
        <v>15.28</v>
      </c>
      <c r="I13" s="47">
        <f t="shared" si="4"/>
        <v>18.8</v>
      </c>
      <c r="J13" s="47">
        <f t="shared" si="5"/>
        <v>470</v>
      </c>
      <c r="K13" s="47">
        <f t="shared" si="6"/>
        <v>564</v>
      </c>
      <c r="L13" s="70">
        <f t="shared" si="7"/>
        <v>334.8</v>
      </c>
      <c r="M13" s="382">
        <f t="shared" si="8"/>
        <v>225.6</v>
      </c>
      <c r="N13" s="382">
        <f t="shared" si="9"/>
        <v>111.6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43"/>
      <c r="B14" s="250"/>
      <c r="C14" s="47"/>
      <c r="D14" s="47"/>
      <c r="E14" s="277">
        <v>12.0</v>
      </c>
      <c r="F14" s="47">
        <f t="shared" si="1"/>
        <v>3.84</v>
      </c>
      <c r="G14" s="47">
        <f t="shared" si="2"/>
        <v>7.64</v>
      </c>
      <c r="H14" s="47">
        <f t="shared" si="3"/>
        <v>15.28</v>
      </c>
      <c r="I14" s="47">
        <f t="shared" si="4"/>
        <v>19.12</v>
      </c>
      <c r="J14" s="47">
        <f t="shared" si="5"/>
        <v>478</v>
      </c>
      <c r="K14" s="47">
        <f t="shared" si="6"/>
        <v>573.6</v>
      </c>
      <c r="L14" s="70">
        <f t="shared" si="7"/>
        <v>344.4</v>
      </c>
      <c r="M14" s="382">
        <f t="shared" si="8"/>
        <v>229.44</v>
      </c>
      <c r="N14" s="382">
        <f t="shared" si="9"/>
        <v>114.8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47"/>
      <c r="B15" s="43"/>
      <c r="C15" s="43"/>
      <c r="D15" s="43"/>
      <c r="E15" s="277">
        <v>13.0</v>
      </c>
      <c r="F15" s="47">
        <f t="shared" si="1"/>
        <v>4.16</v>
      </c>
      <c r="G15" s="47">
        <f t="shared" si="2"/>
        <v>7.64</v>
      </c>
      <c r="H15" s="47">
        <f t="shared" si="3"/>
        <v>15.28</v>
      </c>
      <c r="I15" s="47">
        <f t="shared" si="4"/>
        <v>19.44</v>
      </c>
      <c r="J15" s="47">
        <f t="shared" si="5"/>
        <v>486</v>
      </c>
      <c r="K15" s="47">
        <f t="shared" si="6"/>
        <v>583.2</v>
      </c>
      <c r="L15" s="70">
        <f t="shared" si="7"/>
        <v>354</v>
      </c>
      <c r="M15" s="382">
        <f t="shared" si="8"/>
        <v>233.28</v>
      </c>
      <c r="N15" s="382">
        <f t="shared" si="9"/>
        <v>118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43"/>
      <c r="B16" s="43"/>
      <c r="C16" s="47"/>
      <c r="D16" s="47"/>
      <c r="E16" s="277">
        <v>14.0</v>
      </c>
      <c r="F16" s="47">
        <f t="shared" si="1"/>
        <v>4.48</v>
      </c>
      <c r="G16" s="47">
        <f t="shared" si="2"/>
        <v>7.64</v>
      </c>
      <c r="H16" s="47">
        <f t="shared" si="3"/>
        <v>15.28</v>
      </c>
      <c r="I16" s="47">
        <f t="shared" si="4"/>
        <v>19.76</v>
      </c>
      <c r="J16" s="47">
        <f t="shared" si="5"/>
        <v>494</v>
      </c>
      <c r="K16" s="47">
        <f t="shared" si="6"/>
        <v>592.8</v>
      </c>
      <c r="L16" s="70">
        <f t="shared" si="7"/>
        <v>363.6</v>
      </c>
      <c r="M16" s="382">
        <f t="shared" si="8"/>
        <v>237.12</v>
      </c>
      <c r="N16" s="382">
        <f t="shared" si="9"/>
        <v>121.2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43"/>
      <c r="B17" s="47"/>
      <c r="C17" s="47"/>
      <c r="D17" s="47"/>
      <c r="E17" s="277">
        <v>15.0</v>
      </c>
      <c r="F17" s="47">
        <f t="shared" si="1"/>
        <v>4.8</v>
      </c>
      <c r="G17" s="47">
        <f t="shared" si="2"/>
        <v>7.64</v>
      </c>
      <c r="H17" s="47">
        <f t="shared" si="3"/>
        <v>15.28</v>
      </c>
      <c r="I17" s="47">
        <f t="shared" si="4"/>
        <v>20.08</v>
      </c>
      <c r="J17" s="47">
        <f t="shared" si="5"/>
        <v>502</v>
      </c>
      <c r="K17" s="47">
        <f t="shared" si="6"/>
        <v>602.4</v>
      </c>
      <c r="L17" s="70">
        <f t="shared" si="7"/>
        <v>373.2</v>
      </c>
      <c r="M17" s="382">
        <f t="shared" si="8"/>
        <v>240.96</v>
      </c>
      <c r="N17" s="382">
        <f t="shared" si="9"/>
        <v>124.4</v>
      </c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47"/>
      <c r="B18" s="47"/>
      <c r="C18" s="47"/>
      <c r="D18" s="47"/>
      <c r="E18" s="277">
        <v>16.0</v>
      </c>
      <c r="F18" s="47">
        <f t="shared" si="1"/>
        <v>5.12</v>
      </c>
      <c r="G18" s="47">
        <f t="shared" si="2"/>
        <v>7.64</v>
      </c>
      <c r="H18" s="47">
        <f t="shared" si="3"/>
        <v>15.28</v>
      </c>
      <c r="I18" s="47">
        <f t="shared" si="4"/>
        <v>20.4</v>
      </c>
      <c r="J18" s="47">
        <f t="shared" si="5"/>
        <v>510</v>
      </c>
      <c r="K18" s="47">
        <f t="shared" si="6"/>
        <v>612</v>
      </c>
      <c r="L18" s="70">
        <f t="shared" si="7"/>
        <v>382.8</v>
      </c>
      <c r="M18" s="382">
        <f t="shared" si="8"/>
        <v>244.8</v>
      </c>
      <c r="N18" s="382">
        <f t="shared" si="9"/>
        <v>127.6</v>
      </c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47"/>
      <c r="B19" s="47"/>
      <c r="C19" s="47"/>
      <c r="D19" s="47"/>
      <c r="E19" s="277">
        <v>17.0</v>
      </c>
      <c r="F19" s="47">
        <f t="shared" si="1"/>
        <v>5.44</v>
      </c>
      <c r="G19" s="47">
        <f t="shared" si="2"/>
        <v>7.64</v>
      </c>
      <c r="H19" s="47">
        <f t="shared" si="3"/>
        <v>15.28</v>
      </c>
      <c r="I19" s="47">
        <f t="shared" si="4"/>
        <v>20.72</v>
      </c>
      <c r="J19" s="47">
        <f t="shared" si="5"/>
        <v>518</v>
      </c>
      <c r="K19" s="47">
        <f t="shared" si="6"/>
        <v>621.6</v>
      </c>
      <c r="L19" s="70">
        <f t="shared" si="7"/>
        <v>392.4</v>
      </c>
      <c r="M19" s="382">
        <f t="shared" si="8"/>
        <v>248.64</v>
      </c>
      <c r="N19" s="382">
        <f t="shared" si="9"/>
        <v>130.8</v>
      </c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43"/>
      <c r="B20" s="47"/>
      <c r="C20" s="43"/>
      <c r="D20" s="47"/>
      <c r="E20" s="277">
        <v>18.0</v>
      </c>
      <c r="F20" s="47">
        <f t="shared" si="1"/>
        <v>5.76</v>
      </c>
      <c r="G20" s="47">
        <f t="shared" si="2"/>
        <v>7.64</v>
      </c>
      <c r="H20" s="47">
        <f t="shared" si="3"/>
        <v>15.28</v>
      </c>
      <c r="I20" s="47">
        <f t="shared" si="4"/>
        <v>21.04</v>
      </c>
      <c r="J20" s="47">
        <f t="shared" si="5"/>
        <v>526</v>
      </c>
      <c r="K20" s="47">
        <f t="shared" si="6"/>
        <v>631.2</v>
      </c>
      <c r="L20" s="70">
        <f t="shared" si="7"/>
        <v>402</v>
      </c>
      <c r="M20" s="382">
        <f t="shared" si="8"/>
        <v>252.48</v>
      </c>
      <c r="N20" s="382">
        <f t="shared" si="9"/>
        <v>134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43"/>
      <c r="B21" s="43"/>
      <c r="C21" s="43"/>
      <c r="D21" s="43"/>
      <c r="E21" s="277">
        <v>19.0</v>
      </c>
      <c r="F21" s="47">
        <f t="shared" si="1"/>
        <v>6.08</v>
      </c>
      <c r="G21" s="47">
        <f t="shared" si="2"/>
        <v>7.64</v>
      </c>
      <c r="H21" s="47">
        <f t="shared" si="3"/>
        <v>15.28</v>
      </c>
      <c r="I21" s="47">
        <f t="shared" si="4"/>
        <v>21.36</v>
      </c>
      <c r="J21" s="47">
        <f t="shared" si="5"/>
        <v>534</v>
      </c>
      <c r="K21" s="47">
        <f t="shared" si="6"/>
        <v>640.8</v>
      </c>
      <c r="L21" s="70">
        <f t="shared" si="7"/>
        <v>411.6</v>
      </c>
      <c r="M21" s="382">
        <f t="shared" si="8"/>
        <v>256.32</v>
      </c>
      <c r="N21" s="382">
        <f t="shared" si="9"/>
        <v>137.2</v>
      </c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43"/>
      <c r="B22" s="289"/>
      <c r="C22" s="43"/>
      <c r="D22" s="289"/>
      <c r="E22" s="277">
        <v>20.0</v>
      </c>
      <c r="F22" s="47">
        <f t="shared" si="1"/>
        <v>6.4</v>
      </c>
      <c r="G22" s="47">
        <f t="shared" si="2"/>
        <v>7.64</v>
      </c>
      <c r="H22" s="47">
        <f t="shared" si="3"/>
        <v>15.28</v>
      </c>
      <c r="I22" s="47">
        <f t="shared" si="4"/>
        <v>21.68</v>
      </c>
      <c r="J22" s="47">
        <f t="shared" si="5"/>
        <v>542</v>
      </c>
      <c r="K22" s="47">
        <f t="shared" si="6"/>
        <v>650.4</v>
      </c>
      <c r="L22" s="70">
        <f t="shared" si="7"/>
        <v>421.2</v>
      </c>
      <c r="M22" s="382">
        <f t="shared" si="8"/>
        <v>260.16</v>
      </c>
      <c r="N22" s="382">
        <f t="shared" si="9"/>
        <v>140.4</v>
      </c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43"/>
      <c r="B23" s="289"/>
      <c r="C23" s="43"/>
      <c r="D23" s="289"/>
      <c r="E23" s="277">
        <v>21.0</v>
      </c>
      <c r="F23" s="47">
        <f t="shared" si="1"/>
        <v>6.72</v>
      </c>
      <c r="G23" s="47">
        <f t="shared" si="2"/>
        <v>7.64</v>
      </c>
      <c r="H23" s="47">
        <f t="shared" si="3"/>
        <v>15.28</v>
      </c>
      <c r="I23" s="47">
        <f t="shared" si="4"/>
        <v>22</v>
      </c>
      <c r="J23" s="47">
        <f t="shared" si="5"/>
        <v>550</v>
      </c>
      <c r="K23" s="47">
        <f t="shared" si="6"/>
        <v>660</v>
      </c>
      <c r="L23" s="70">
        <f t="shared" si="7"/>
        <v>430.8</v>
      </c>
      <c r="M23" s="382">
        <f t="shared" si="8"/>
        <v>264</v>
      </c>
      <c r="N23" s="382">
        <f t="shared" si="9"/>
        <v>143.6</v>
      </c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43"/>
      <c r="B24" s="289"/>
      <c r="C24" s="43"/>
      <c r="D24" s="289"/>
      <c r="E24" s="277">
        <v>22.0</v>
      </c>
      <c r="F24" s="47">
        <f t="shared" si="1"/>
        <v>7.04</v>
      </c>
      <c r="G24" s="47">
        <f t="shared" si="2"/>
        <v>7.64</v>
      </c>
      <c r="H24" s="47">
        <f t="shared" si="3"/>
        <v>15.28</v>
      </c>
      <c r="I24" s="47">
        <f t="shared" si="4"/>
        <v>22.32</v>
      </c>
      <c r="J24" s="47">
        <f t="shared" si="5"/>
        <v>558</v>
      </c>
      <c r="K24" s="47">
        <f t="shared" si="6"/>
        <v>669.6</v>
      </c>
      <c r="L24" s="70">
        <f t="shared" si="7"/>
        <v>440.4</v>
      </c>
      <c r="M24" s="382">
        <f t="shared" si="8"/>
        <v>267.84</v>
      </c>
      <c r="N24" s="382">
        <f t="shared" si="9"/>
        <v>146.8</v>
      </c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43"/>
      <c r="B25" s="289"/>
      <c r="C25" s="43"/>
      <c r="D25" s="289"/>
      <c r="E25" s="277">
        <v>23.0</v>
      </c>
      <c r="F25" s="47">
        <f t="shared" si="1"/>
        <v>7.36</v>
      </c>
      <c r="G25" s="47">
        <f t="shared" si="2"/>
        <v>7.64</v>
      </c>
      <c r="H25" s="47">
        <f t="shared" si="3"/>
        <v>15.28</v>
      </c>
      <c r="I25" s="47">
        <f t="shared" si="4"/>
        <v>22.64</v>
      </c>
      <c r="J25" s="47">
        <f t="shared" si="5"/>
        <v>566</v>
      </c>
      <c r="K25" s="47">
        <f t="shared" si="6"/>
        <v>679.2</v>
      </c>
      <c r="L25" s="70">
        <f t="shared" si="7"/>
        <v>450</v>
      </c>
      <c r="M25" s="382">
        <f t="shared" si="8"/>
        <v>271.68</v>
      </c>
      <c r="N25" s="382">
        <f t="shared" si="9"/>
        <v>150</v>
      </c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43"/>
      <c r="B26" s="289"/>
      <c r="C26" s="43"/>
      <c r="D26" s="289"/>
      <c r="E26" s="277">
        <v>24.0</v>
      </c>
      <c r="F26" s="47">
        <f t="shared" si="1"/>
        <v>7.68</v>
      </c>
      <c r="G26" s="47">
        <f t="shared" si="2"/>
        <v>7.64</v>
      </c>
      <c r="H26" s="47">
        <f t="shared" si="3"/>
        <v>15.28</v>
      </c>
      <c r="I26" s="47">
        <f t="shared" si="4"/>
        <v>22.96</v>
      </c>
      <c r="J26" s="47">
        <f t="shared" si="5"/>
        <v>574</v>
      </c>
      <c r="K26" s="47">
        <f t="shared" si="6"/>
        <v>688.8</v>
      </c>
      <c r="L26" s="70">
        <f t="shared" si="7"/>
        <v>459.6</v>
      </c>
      <c r="M26" s="382">
        <f t="shared" si="8"/>
        <v>275.52</v>
      </c>
      <c r="N26" s="382">
        <f t="shared" si="9"/>
        <v>153.2</v>
      </c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43"/>
      <c r="B27" s="289"/>
      <c r="C27" s="43"/>
      <c r="D27" s="289"/>
      <c r="E27" s="277">
        <v>25.0</v>
      </c>
      <c r="F27" s="47">
        <f t="shared" si="1"/>
        <v>8</v>
      </c>
      <c r="G27" s="47">
        <f t="shared" si="2"/>
        <v>7.64</v>
      </c>
      <c r="H27" s="47">
        <f t="shared" si="3"/>
        <v>15.28</v>
      </c>
      <c r="I27" s="47">
        <f t="shared" si="4"/>
        <v>23.28</v>
      </c>
      <c r="J27" s="47">
        <f t="shared" si="5"/>
        <v>582</v>
      </c>
      <c r="K27" s="47">
        <f t="shared" si="6"/>
        <v>698.4</v>
      </c>
      <c r="L27" s="70">
        <f t="shared" si="7"/>
        <v>469.2</v>
      </c>
      <c r="M27" s="382">
        <f t="shared" si="8"/>
        <v>279.36</v>
      </c>
      <c r="N27" s="382">
        <f t="shared" si="9"/>
        <v>156.4</v>
      </c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43"/>
      <c r="B28" s="289"/>
      <c r="C28" s="43"/>
      <c r="D28" s="289"/>
      <c r="E28" s="277">
        <v>26.0</v>
      </c>
      <c r="F28" s="47">
        <f t="shared" si="1"/>
        <v>8.32</v>
      </c>
      <c r="G28" s="47">
        <f t="shared" si="2"/>
        <v>7.64</v>
      </c>
      <c r="H28" s="47">
        <f t="shared" si="3"/>
        <v>15.28</v>
      </c>
      <c r="I28" s="47">
        <f t="shared" si="4"/>
        <v>23.6</v>
      </c>
      <c r="J28" s="47">
        <f t="shared" si="5"/>
        <v>590</v>
      </c>
      <c r="K28" s="47">
        <f t="shared" si="6"/>
        <v>708</v>
      </c>
      <c r="L28" s="70">
        <f t="shared" si="7"/>
        <v>478.8</v>
      </c>
      <c r="M28" s="382">
        <f t="shared" si="8"/>
        <v>283.2</v>
      </c>
      <c r="N28" s="382">
        <f t="shared" si="9"/>
        <v>159.6</v>
      </c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43"/>
      <c r="B29" s="289"/>
      <c r="C29" s="43"/>
      <c r="D29" s="289"/>
      <c r="E29" s="277">
        <v>27.0</v>
      </c>
      <c r="F29" s="47">
        <f t="shared" si="1"/>
        <v>8.64</v>
      </c>
      <c r="G29" s="47">
        <f t="shared" si="2"/>
        <v>7.64</v>
      </c>
      <c r="H29" s="47">
        <f t="shared" si="3"/>
        <v>15.28</v>
      </c>
      <c r="I29" s="47">
        <f t="shared" si="4"/>
        <v>23.92</v>
      </c>
      <c r="J29" s="47">
        <f t="shared" si="5"/>
        <v>598</v>
      </c>
      <c r="K29" s="47">
        <f t="shared" si="6"/>
        <v>717.6</v>
      </c>
      <c r="L29" s="70">
        <f t="shared" si="7"/>
        <v>488.4</v>
      </c>
      <c r="M29" s="382">
        <f t="shared" si="8"/>
        <v>287.04</v>
      </c>
      <c r="N29" s="382">
        <f t="shared" si="9"/>
        <v>162.8</v>
      </c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43"/>
      <c r="B30" s="289"/>
      <c r="C30" s="43"/>
      <c r="D30" s="289"/>
      <c r="E30" s="277">
        <v>28.0</v>
      </c>
      <c r="F30" s="47">
        <f t="shared" si="1"/>
        <v>8.96</v>
      </c>
      <c r="G30" s="47">
        <f t="shared" si="2"/>
        <v>7.64</v>
      </c>
      <c r="H30" s="47">
        <f t="shared" si="3"/>
        <v>15.28</v>
      </c>
      <c r="I30" s="47">
        <f t="shared" si="4"/>
        <v>24.24</v>
      </c>
      <c r="J30" s="47">
        <f t="shared" si="5"/>
        <v>606</v>
      </c>
      <c r="K30" s="47">
        <f t="shared" si="6"/>
        <v>727.2</v>
      </c>
      <c r="L30" s="70">
        <f t="shared" si="7"/>
        <v>498</v>
      </c>
      <c r="M30" s="382">
        <f t="shared" si="8"/>
        <v>290.88</v>
      </c>
      <c r="N30" s="382">
        <f t="shared" si="9"/>
        <v>166</v>
      </c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43"/>
      <c r="B31" s="289"/>
      <c r="C31" s="43"/>
      <c r="D31" s="289"/>
      <c r="E31" s="277">
        <v>29.0</v>
      </c>
      <c r="F31" s="47">
        <f t="shared" si="1"/>
        <v>9.28</v>
      </c>
      <c r="G31" s="47">
        <f t="shared" si="2"/>
        <v>7.64</v>
      </c>
      <c r="H31" s="47">
        <f t="shared" si="3"/>
        <v>15.28</v>
      </c>
      <c r="I31" s="47">
        <f t="shared" si="4"/>
        <v>24.56</v>
      </c>
      <c r="J31" s="47">
        <f t="shared" si="5"/>
        <v>614</v>
      </c>
      <c r="K31" s="47">
        <f t="shared" si="6"/>
        <v>736.8</v>
      </c>
      <c r="L31" s="70">
        <f t="shared" si="7"/>
        <v>507.6</v>
      </c>
      <c r="M31" s="382">
        <f t="shared" si="8"/>
        <v>294.72</v>
      </c>
      <c r="N31" s="382">
        <f t="shared" si="9"/>
        <v>169.2</v>
      </c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43"/>
      <c r="B32" s="289"/>
      <c r="C32" s="43"/>
      <c r="D32" s="289"/>
      <c r="E32" s="277">
        <v>30.0</v>
      </c>
      <c r="F32" s="47">
        <f t="shared" si="1"/>
        <v>9.6</v>
      </c>
      <c r="G32" s="47">
        <f t="shared" si="2"/>
        <v>7.64</v>
      </c>
      <c r="H32" s="47">
        <f t="shared" si="3"/>
        <v>15.28</v>
      </c>
      <c r="I32" s="47">
        <f t="shared" si="4"/>
        <v>24.88</v>
      </c>
      <c r="J32" s="47">
        <f t="shared" si="5"/>
        <v>622</v>
      </c>
      <c r="K32" s="47">
        <f t="shared" si="6"/>
        <v>746.4</v>
      </c>
      <c r="L32" s="70">
        <f t="shared" si="7"/>
        <v>517.2</v>
      </c>
      <c r="M32" s="382">
        <f t="shared" si="8"/>
        <v>298.56</v>
      </c>
      <c r="N32" s="382">
        <f t="shared" si="9"/>
        <v>172.4</v>
      </c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43"/>
      <c r="B33" s="289"/>
      <c r="C33" s="43"/>
      <c r="D33" s="289"/>
      <c r="E33" s="277">
        <v>31.0</v>
      </c>
      <c r="F33" s="47">
        <f t="shared" si="1"/>
        <v>9.92</v>
      </c>
      <c r="G33" s="47">
        <f t="shared" si="2"/>
        <v>7.64</v>
      </c>
      <c r="H33" s="47">
        <f t="shared" si="3"/>
        <v>15.28</v>
      </c>
      <c r="I33" s="47">
        <f t="shared" si="4"/>
        <v>25.2</v>
      </c>
      <c r="J33" s="47">
        <f t="shared" si="5"/>
        <v>630</v>
      </c>
      <c r="K33" s="47">
        <f t="shared" si="6"/>
        <v>756</v>
      </c>
      <c r="L33" s="70">
        <f t="shared" si="7"/>
        <v>526.8</v>
      </c>
      <c r="M33" s="382">
        <f t="shared" si="8"/>
        <v>302.4</v>
      </c>
      <c r="N33" s="382">
        <f t="shared" si="9"/>
        <v>175.6</v>
      </c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43"/>
      <c r="B34" s="289"/>
      <c r="C34" s="43"/>
      <c r="D34" s="289"/>
      <c r="E34" s="277">
        <v>32.0</v>
      </c>
      <c r="F34" s="47">
        <f t="shared" si="1"/>
        <v>10.24</v>
      </c>
      <c r="G34" s="47">
        <f t="shared" si="2"/>
        <v>7.64</v>
      </c>
      <c r="H34" s="47">
        <f t="shared" si="3"/>
        <v>15.28</v>
      </c>
      <c r="I34" s="47">
        <f t="shared" si="4"/>
        <v>25.52</v>
      </c>
      <c r="J34" s="47">
        <f t="shared" si="5"/>
        <v>638</v>
      </c>
      <c r="K34" s="47">
        <f t="shared" si="6"/>
        <v>765.6</v>
      </c>
      <c r="L34" s="70">
        <f t="shared" si="7"/>
        <v>536.4</v>
      </c>
      <c r="M34" s="382">
        <f t="shared" si="8"/>
        <v>306.24</v>
      </c>
      <c r="N34" s="382">
        <f t="shared" si="9"/>
        <v>178.8</v>
      </c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43"/>
      <c r="B35" s="289"/>
      <c r="C35" s="43"/>
      <c r="D35" s="289"/>
      <c r="E35" s="277">
        <v>33.0</v>
      </c>
      <c r="F35" s="47">
        <f t="shared" si="1"/>
        <v>10.56</v>
      </c>
      <c r="G35" s="47">
        <f t="shared" si="2"/>
        <v>7.64</v>
      </c>
      <c r="H35" s="47">
        <f t="shared" si="3"/>
        <v>15.28</v>
      </c>
      <c r="I35" s="47">
        <f t="shared" si="4"/>
        <v>25.84</v>
      </c>
      <c r="J35" s="47">
        <f t="shared" si="5"/>
        <v>646</v>
      </c>
      <c r="K35" s="47">
        <f t="shared" si="6"/>
        <v>775.2</v>
      </c>
      <c r="L35" s="70">
        <f t="shared" si="7"/>
        <v>546</v>
      </c>
      <c r="M35" s="382">
        <f t="shared" si="8"/>
        <v>310.08</v>
      </c>
      <c r="N35" s="382">
        <f t="shared" si="9"/>
        <v>182</v>
      </c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43"/>
      <c r="B36" s="289"/>
      <c r="C36" s="43"/>
      <c r="D36" s="289"/>
      <c r="E36" s="277">
        <v>34.0</v>
      </c>
      <c r="F36" s="47">
        <f t="shared" si="1"/>
        <v>10.88</v>
      </c>
      <c r="G36" s="47">
        <f t="shared" si="2"/>
        <v>7.64</v>
      </c>
      <c r="H36" s="47">
        <f t="shared" si="3"/>
        <v>15.28</v>
      </c>
      <c r="I36" s="47">
        <f t="shared" si="4"/>
        <v>26.16</v>
      </c>
      <c r="J36" s="47">
        <f t="shared" si="5"/>
        <v>654</v>
      </c>
      <c r="K36" s="47">
        <f t="shared" si="6"/>
        <v>784.8</v>
      </c>
      <c r="L36" s="70">
        <f t="shared" si="7"/>
        <v>555.6</v>
      </c>
      <c r="M36" s="382">
        <f t="shared" si="8"/>
        <v>313.92</v>
      </c>
      <c r="N36" s="382">
        <f t="shared" si="9"/>
        <v>185.2</v>
      </c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43"/>
      <c r="B37" s="289"/>
      <c r="C37" s="43"/>
      <c r="D37" s="289"/>
      <c r="E37" s="277">
        <v>35.0</v>
      </c>
      <c r="F37" s="47">
        <f t="shared" si="1"/>
        <v>11.2</v>
      </c>
      <c r="G37" s="47">
        <f t="shared" si="2"/>
        <v>7.64</v>
      </c>
      <c r="H37" s="47">
        <f t="shared" si="3"/>
        <v>15.28</v>
      </c>
      <c r="I37" s="47">
        <f t="shared" si="4"/>
        <v>26.48</v>
      </c>
      <c r="J37" s="47">
        <f t="shared" si="5"/>
        <v>662</v>
      </c>
      <c r="K37" s="47">
        <f t="shared" si="6"/>
        <v>794.4</v>
      </c>
      <c r="L37" s="70">
        <f t="shared" si="7"/>
        <v>565.2</v>
      </c>
      <c r="M37" s="382">
        <f t="shared" si="8"/>
        <v>317.76</v>
      </c>
      <c r="N37" s="382">
        <f t="shared" si="9"/>
        <v>188.4</v>
      </c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43"/>
      <c r="B38" s="289"/>
      <c r="C38" s="43"/>
      <c r="D38" s="289"/>
      <c r="E38" s="277">
        <v>36.0</v>
      </c>
      <c r="F38" s="47">
        <f t="shared" si="1"/>
        <v>11.52</v>
      </c>
      <c r="G38" s="47">
        <f t="shared" si="2"/>
        <v>7.64</v>
      </c>
      <c r="H38" s="47">
        <f t="shared" si="3"/>
        <v>15.28</v>
      </c>
      <c r="I38" s="47">
        <f t="shared" si="4"/>
        <v>26.8</v>
      </c>
      <c r="J38" s="47">
        <f t="shared" si="5"/>
        <v>670</v>
      </c>
      <c r="K38" s="47">
        <f t="shared" si="6"/>
        <v>804</v>
      </c>
      <c r="L38" s="70">
        <f t="shared" si="7"/>
        <v>574.8</v>
      </c>
      <c r="M38" s="382">
        <f t="shared" si="8"/>
        <v>321.6</v>
      </c>
      <c r="N38" s="382">
        <f t="shared" si="9"/>
        <v>191.6</v>
      </c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43"/>
      <c r="B39" s="289"/>
      <c r="C39" s="43"/>
      <c r="D39" s="289"/>
      <c r="E39" s="277">
        <v>37.0</v>
      </c>
      <c r="F39" s="47">
        <f t="shared" si="1"/>
        <v>11.84</v>
      </c>
      <c r="G39" s="47">
        <f t="shared" si="2"/>
        <v>7.64</v>
      </c>
      <c r="H39" s="47">
        <f t="shared" si="3"/>
        <v>15.28</v>
      </c>
      <c r="I39" s="47">
        <f t="shared" si="4"/>
        <v>27.12</v>
      </c>
      <c r="J39" s="47">
        <f t="shared" si="5"/>
        <v>678</v>
      </c>
      <c r="K39" s="47">
        <f t="shared" si="6"/>
        <v>813.6</v>
      </c>
      <c r="L39" s="70">
        <f t="shared" si="7"/>
        <v>584.4</v>
      </c>
      <c r="M39" s="382">
        <f t="shared" si="8"/>
        <v>325.44</v>
      </c>
      <c r="N39" s="382">
        <f t="shared" si="9"/>
        <v>194.8</v>
      </c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43"/>
      <c r="B40" s="289"/>
      <c r="C40" s="43"/>
      <c r="D40" s="289"/>
      <c r="E40" s="277">
        <v>38.0</v>
      </c>
      <c r="F40" s="47">
        <f t="shared" si="1"/>
        <v>12.16</v>
      </c>
      <c r="G40" s="47">
        <f t="shared" si="2"/>
        <v>7.64</v>
      </c>
      <c r="H40" s="47">
        <f t="shared" si="3"/>
        <v>15.28</v>
      </c>
      <c r="I40" s="47">
        <f t="shared" si="4"/>
        <v>27.44</v>
      </c>
      <c r="J40" s="47">
        <f t="shared" si="5"/>
        <v>686</v>
      </c>
      <c r="K40" s="47">
        <f t="shared" si="6"/>
        <v>823.2</v>
      </c>
      <c r="L40" s="70">
        <f t="shared" si="7"/>
        <v>594</v>
      </c>
      <c r="M40" s="382">
        <f t="shared" si="8"/>
        <v>329.28</v>
      </c>
      <c r="N40" s="382">
        <f t="shared" si="9"/>
        <v>198</v>
      </c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43"/>
      <c r="B41" s="289"/>
      <c r="C41" s="43"/>
      <c r="D41" s="289"/>
      <c r="E41" s="277">
        <v>39.0</v>
      </c>
      <c r="F41" s="47">
        <f t="shared" si="1"/>
        <v>12.48</v>
      </c>
      <c r="G41" s="47">
        <f t="shared" si="2"/>
        <v>7.64</v>
      </c>
      <c r="H41" s="47">
        <f t="shared" si="3"/>
        <v>15.28</v>
      </c>
      <c r="I41" s="47">
        <f t="shared" si="4"/>
        <v>27.76</v>
      </c>
      <c r="J41" s="47">
        <f t="shared" si="5"/>
        <v>694</v>
      </c>
      <c r="K41" s="47">
        <f t="shared" si="6"/>
        <v>832.8</v>
      </c>
      <c r="L41" s="70">
        <f t="shared" si="7"/>
        <v>603.6</v>
      </c>
      <c r="M41" s="382">
        <f t="shared" si="8"/>
        <v>333.12</v>
      </c>
      <c r="N41" s="382">
        <f t="shared" si="9"/>
        <v>201.2</v>
      </c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43"/>
      <c r="B42" s="289"/>
      <c r="C42" s="43"/>
      <c r="D42" s="289"/>
      <c r="E42" s="277">
        <v>40.0</v>
      </c>
      <c r="F42" s="47">
        <f t="shared" si="1"/>
        <v>12.8</v>
      </c>
      <c r="G42" s="47">
        <f t="shared" si="2"/>
        <v>7.64</v>
      </c>
      <c r="H42" s="47">
        <f t="shared" si="3"/>
        <v>15.28</v>
      </c>
      <c r="I42" s="47">
        <f t="shared" si="4"/>
        <v>28.08</v>
      </c>
      <c r="J42" s="47">
        <f t="shared" si="5"/>
        <v>702</v>
      </c>
      <c r="K42" s="47">
        <f t="shared" si="6"/>
        <v>842.4</v>
      </c>
      <c r="L42" s="70">
        <f t="shared" si="7"/>
        <v>613.2</v>
      </c>
      <c r="M42" s="382">
        <f t="shared" si="8"/>
        <v>336.96</v>
      </c>
      <c r="N42" s="382">
        <f t="shared" si="9"/>
        <v>204.4</v>
      </c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289"/>
      <c r="B43" s="289"/>
      <c r="C43" s="289"/>
      <c r="D43" s="289"/>
      <c r="E43" s="277">
        <v>41.0</v>
      </c>
      <c r="F43" s="47">
        <f t="shared" si="1"/>
        <v>13.12</v>
      </c>
      <c r="G43" s="47">
        <f t="shared" si="2"/>
        <v>7.64</v>
      </c>
      <c r="H43" s="47">
        <f t="shared" si="3"/>
        <v>15.28</v>
      </c>
      <c r="I43" s="47">
        <f t="shared" si="4"/>
        <v>28.4</v>
      </c>
      <c r="J43" s="47">
        <f t="shared" si="5"/>
        <v>710</v>
      </c>
      <c r="K43" s="47">
        <f t="shared" si="6"/>
        <v>852</v>
      </c>
      <c r="L43" s="70">
        <f t="shared" si="7"/>
        <v>622.8</v>
      </c>
      <c r="M43" s="382">
        <f t="shared" si="8"/>
        <v>340.8</v>
      </c>
      <c r="N43" s="382">
        <f t="shared" si="9"/>
        <v>207.6</v>
      </c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289"/>
      <c r="B44" s="289"/>
      <c r="C44" s="289"/>
      <c r="D44" s="289"/>
      <c r="E44" s="277">
        <v>42.0</v>
      </c>
      <c r="F44" s="47">
        <f t="shared" si="1"/>
        <v>13.44</v>
      </c>
      <c r="G44" s="47">
        <f t="shared" si="2"/>
        <v>7.64</v>
      </c>
      <c r="H44" s="47">
        <f t="shared" si="3"/>
        <v>15.28</v>
      </c>
      <c r="I44" s="47">
        <f t="shared" si="4"/>
        <v>28.72</v>
      </c>
      <c r="J44" s="47">
        <f t="shared" si="5"/>
        <v>718</v>
      </c>
      <c r="K44" s="47">
        <f t="shared" si="6"/>
        <v>861.6</v>
      </c>
      <c r="L44" s="70">
        <f t="shared" si="7"/>
        <v>632.4</v>
      </c>
      <c r="M44" s="382">
        <f t="shared" si="8"/>
        <v>344.64</v>
      </c>
      <c r="N44" s="382">
        <f t="shared" si="9"/>
        <v>210.8</v>
      </c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289"/>
      <c r="B45" s="289"/>
      <c r="C45" s="289"/>
      <c r="D45" s="289"/>
      <c r="E45" s="277">
        <v>43.0</v>
      </c>
      <c r="F45" s="47">
        <f t="shared" si="1"/>
        <v>13.76</v>
      </c>
      <c r="G45" s="47">
        <f t="shared" si="2"/>
        <v>7.64</v>
      </c>
      <c r="H45" s="47">
        <f t="shared" si="3"/>
        <v>15.28</v>
      </c>
      <c r="I45" s="47">
        <f t="shared" si="4"/>
        <v>29.04</v>
      </c>
      <c r="J45" s="47">
        <f t="shared" si="5"/>
        <v>726</v>
      </c>
      <c r="K45" s="47">
        <f t="shared" si="6"/>
        <v>871.2</v>
      </c>
      <c r="L45" s="70">
        <f t="shared" si="7"/>
        <v>642</v>
      </c>
      <c r="M45" s="382">
        <f t="shared" si="8"/>
        <v>348.48</v>
      </c>
      <c r="N45" s="382">
        <f t="shared" si="9"/>
        <v>214</v>
      </c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289"/>
      <c r="B46" s="289"/>
      <c r="C46" s="289"/>
      <c r="D46" s="289"/>
      <c r="E46" s="277">
        <v>44.0</v>
      </c>
      <c r="F46" s="47">
        <f t="shared" si="1"/>
        <v>14.08</v>
      </c>
      <c r="G46" s="47">
        <f t="shared" si="2"/>
        <v>7.64</v>
      </c>
      <c r="H46" s="47">
        <f t="shared" si="3"/>
        <v>15.28</v>
      </c>
      <c r="I46" s="47">
        <f t="shared" si="4"/>
        <v>29.36</v>
      </c>
      <c r="J46" s="47">
        <f t="shared" si="5"/>
        <v>734</v>
      </c>
      <c r="K46" s="47">
        <f t="shared" si="6"/>
        <v>880.8</v>
      </c>
      <c r="L46" s="70">
        <f t="shared" si="7"/>
        <v>651.6</v>
      </c>
      <c r="M46" s="382">
        <f t="shared" si="8"/>
        <v>352.32</v>
      </c>
      <c r="N46" s="382">
        <f t="shared" si="9"/>
        <v>217.2</v>
      </c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289"/>
      <c r="B47" s="289"/>
      <c r="C47" s="289"/>
      <c r="D47" s="289"/>
      <c r="E47" s="277">
        <v>45.0</v>
      </c>
      <c r="F47" s="47">
        <f t="shared" si="1"/>
        <v>14.4</v>
      </c>
      <c r="G47" s="47">
        <f t="shared" si="2"/>
        <v>7.64</v>
      </c>
      <c r="H47" s="47">
        <f t="shared" si="3"/>
        <v>15.28</v>
      </c>
      <c r="I47" s="47">
        <f t="shared" si="4"/>
        <v>29.68</v>
      </c>
      <c r="J47" s="47">
        <f t="shared" si="5"/>
        <v>742</v>
      </c>
      <c r="K47" s="47">
        <f t="shared" si="6"/>
        <v>890.4</v>
      </c>
      <c r="L47" s="70">
        <f t="shared" si="7"/>
        <v>661.2</v>
      </c>
      <c r="M47" s="382">
        <f t="shared" si="8"/>
        <v>356.16</v>
      </c>
      <c r="N47" s="382">
        <f t="shared" si="9"/>
        <v>220.4</v>
      </c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289"/>
      <c r="B48" s="289"/>
      <c r="C48" s="289"/>
      <c r="D48" s="289"/>
      <c r="E48" s="277">
        <v>46.0</v>
      </c>
      <c r="F48" s="47">
        <f t="shared" si="1"/>
        <v>14.72</v>
      </c>
      <c r="G48" s="47">
        <f t="shared" si="2"/>
        <v>7.64</v>
      </c>
      <c r="H48" s="47">
        <f t="shared" si="3"/>
        <v>15.28</v>
      </c>
      <c r="I48" s="47">
        <f t="shared" si="4"/>
        <v>30</v>
      </c>
      <c r="J48" s="47">
        <f t="shared" si="5"/>
        <v>750</v>
      </c>
      <c r="K48" s="47">
        <f t="shared" si="6"/>
        <v>900</v>
      </c>
      <c r="L48" s="70">
        <f t="shared" si="7"/>
        <v>670.8</v>
      </c>
      <c r="M48" s="382">
        <f t="shared" si="8"/>
        <v>360</v>
      </c>
      <c r="N48" s="382">
        <f t="shared" si="9"/>
        <v>223.6</v>
      </c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289"/>
      <c r="B49" s="289"/>
      <c r="C49" s="289"/>
      <c r="D49" s="289"/>
      <c r="E49" s="277">
        <v>47.0</v>
      </c>
      <c r="F49" s="47">
        <f t="shared" si="1"/>
        <v>15.04</v>
      </c>
      <c r="G49" s="47">
        <f t="shared" si="2"/>
        <v>7.64</v>
      </c>
      <c r="H49" s="47">
        <f t="shared" si="3"/>
        <v>15.28</v>
      </c>
      <c r="I49" s="47">
        <f t="shared" si="4"/>
        <v>30.32</v>
      </c>
      <c r="J49" s="47">
        <f t="shared" si="5"/>
        <v>758</v>
      </c>
      <c r="K49" s="47">
        <f t="shared" si="6"/>
        <v>909.6</v>
      </c>
      <c r="L49" s="70">
        <f t="shared" si="7"/>
        <v>680.4</v>
      </c>
      <c r="M49" s="382">
        <f t="shared" si="8"/>
        <v>363.84</v>
      </c>
      <c r="N49" s="382">
        <f t="shared" si="9"/>
        <v>226.8</v>
      </c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289"/>
      <c r="B50" s="289"/>
      <c r="C50" s="289"/>
      <c r="D50" s="289"/>
      <c r="E50" s="277">
        <v>48.0</v>
      </c>
      <c r="F50" s="47">
        <f t="shared" si="1"/>
        <v>15.36</v>
      </c>
      <c r="G50" s="47">
        <f t="shared" si="2"/>
        <v>7.64</v>
      </c>
      <c r="H50" s="47">
        <f t="shared" si="3"/>
        <v>15.28</v>
      </c>
      <c r="I50" s="47">
        <f t="shared" si="4"/>
        <v>30.64</v>
      </c>
      <c r="J50" s="47">
        <f t="shared" si="5"/>
        <v>766</v>
      </c>
      <c r="K50" s="47">
        <f t="shared" si="6"/>
        <v>919.2</v>
      </c>
      <c r="L50" s="70">
        <f t="shared" si="7"/>
        <v>690</v>
      </c>
      <c r="M50" s="382">
        <f t="shared" si="8"/>
        <v>367.68</v>
      </c>
      <c r="N50" s="382">
        <f t="shared" si="9"/>
        <v>230</v>
      </c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289"/>
      <c r="B51" s="289"/>
      <c r="C51" s="289"/>
      <c r="D51" s="289"/>
      <c r="E51" s="277">
        <v>49.0</v>
      </c>
      <c r="F51" s="47">
        <f t="shared" si="1"/>
        <v>15.68</v>
      </c>
      <c r="G51" s="47">
        <f t="shared" si="2"/>
        <v>7.64</v>
      </c>
      <c r="H51" s="47">
        <f t="shared" si="3"/>
        <v>15.28</v>
      </c>
      <c r="I51" s="47">
        <f t="shared" si="4"/>
        <v>30.96</v>
      </c>
      <c r="J51" s="47">
        <f t="shared" si="5"/>
        <v>774</v>
      </c>
      <c r="K51" s="47">
        <f t="shared" si="6"/>
        <v>928.8</v>
      </c>
      <c r="L51" s="70">
        <f t="shared" si="7"/>
        <v>699.6</v>
      </c>
      <c r="M51" s="382">
        <f t="shared" si="8"/>
        <v>371.52</v>
      </c>
      <c r="N51" s="382">
        <f t="shared" si="9"/>
        <v>233.2</v>
      </c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289"/>
      <c r="B52" s="289"/>
      <c r="C52" s="289"/>
      <c r="D52" s="289"/>
      <c r="E52" s="277">
        <v>50.0</v>
      </c>
      <c r="F52" s="47">
        <f t="shared" si="1"/>
        <v>16</v>
      </c>
      <c r="G52" s="47">
        <f t="shared" si="2"/>
        <v>7.64</v>
      </c>
      <c r="H52" s="47">
        <f t="shared" si="3"/>
        <v>15.28</v>
      </c>
      <c r="I52" s="47">
        <f t="shared" si="4"/>
        <v>31.28</v>
      </c>
      <c r="J52" s="47">
        <f t="shared" si="5"/>
        <v>782</v>
      </c>
      <c r="K52" s="47">
        <f t="shared" si="6"/>
        <v>938.4</v>
      </c>
      <c r="L52" s="70">
        <f t="shared" si="7"/>
        <v>709.2</v>
      </c>
      <c r="M52" s="382">
        <f t="shared" si="8"/>
        <v>375.36</v>
      </c>
      <c r="N52" s="382">
        <f t="shared" si="9"/>
        <v>236.4</v>
      </c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289"/>
      <c r="B53" s="289"/>
      <c r="C53" s="289"/>
      <c r="D53" s="289"/>
      <c r="E53" s="277">
        <v>51.0</v>
      </c>
      <c r="F53" s="47">
        <f t="shared" si="1"/>
        <v>16.32</v>
      </c>
      <c r="G53" s="47">
        <f t="shared" si="2"/>
        <v>7.64</v>
      </c>
      <c r="H53" s="47">
        <f t="shared" si="3"/>
        <v>15.28</v>
      </c>
      <c r="I53" s="47">
        <f t="shared" si="4"/>
        <v>31.6</v>
      </c>
      <c r="J53" s="47">
        <f t="shared" si="5"/>
        <v>790</v>
      </c>
      <c r="K53" s="47">
        <f t="shared" si="6"/>
        <v>948</v>
      </c>
      <c r="L53" s="70">
        <f t="shared" si="7"/>
        <v>718.8</v>
      </c>
      <c r="M53" s="382">
        <f t="shared" si="8"/>
        <v>379.2</v>
      </c>
      <c r="N53" s="382">
        <f t="shared" si="9"/>
        <v>239.6</v>
      </c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289"/>
      <c r="B54" s="289"/>
      <c r="C54" s="289"/>
      <c r="D54" s="289"/>
      <c r="E54" s="277">
        <v>52.0</v>
      </c>
      <c r="F54" s="47">
        <f t="shared" si="1"/>
        <v>16.64</v>
      </c>
      <c r="G54" s="47">
        <f t="shared" si="2"/>
        <v>7.64</v>
      </c>
      <c r="H54" s="47">
        <f t="shared" si="3"/>
        <v>15.28</v>
      </c>
      <c r="I54" s="47">
        <f t="shared" si="4"/>
        <v>31.92</v>
      </c>
      <c r="J54" s="47">
        <f t="shared" si="5"/>
        <v>798</v>
      </c>
      <c r="K54" s="47">
        <f t="shared" si="6"/>
        <v>957.6</v>
      </c>
      <c r="L54" s="70">
        <f t="shared" si="7"/>
        <v>728.4</v>
      </c>
      <c r="M54" s="382">
        <f t="shared" si="8"/>
        <v>383.04</v>
      </c>
      <c r="N54" s="382">
        <f t="shared" si="9"/>
        <v>242.8</v>
      </c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289"/>
      <c r="B55" s="289"/>
      <c r="C55" s="289"/>
      <c r="D55" s="289"/>
      <c r="E55" s="277">
        <v>53.0</v>
      </c>
      <c r="F55" s="47">
        <f t="shared" si="1"/>
        <v>16.96</v>
      </c>
      <c r="G55" s="47">
        <f t="shared" si="2"/>
        <v>7.64</v>
      </c>
      <c r="H55" s="47">
        <f t="shared" si="3"/>
        <v>15.28</v>
      </c>
      <c r="I55" s="47">
        <f t="shared" si="4"/>
        <v>32.24</v>
      </c>
      <c r="J55" s="47">
        <f t="shared" si="5"/>
        <v>806</v>
      </c>
      <c r="K55" s="47">
        <f t="shared" si="6"/>
        <v>967.2</v>
      </c>
      <c r="L55" s="70">
        <f t="shared" si="7"/>
        <v>738</v>
      </c>
      <c r="M55" s="382">
        <f t="shared" si="8"/>
        <v>386.88</v>
      </c>
      <c r="N55" s="382">
        <f t="shared" si="9"/>
        <v>246</v>
      </c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289"/>
      <c r="B56" s="289"/>
      <c r="C56" s="289"/>
      <c r="D56" s="289"/>
      <c r="E56" s="277">
        <v>54.0</v>
      </c>
      <c r="F56" s="47">
        <f t="shared" si="1"/>
        <v>17.28</v>
      </c>
      <c r="G56" s="47">
        <f t="shared" si="2"/>
        <v>7.64</v>
      </c>
      <c r="H56" s="47">
        <f t="shared" si="3"/>
        <v>15.28</v>
      </c>
      <c r="I56" s="47">
        <f t="shared" si="4"/>
        <v>32.56</v>
      </c>
      <c r="J56" s="47">
        <f t="shared" si="5"/>
        <v>814</v>
      </c>
      <c r="K56" s="47">
        <f t="shared" si="6"/>
        <v>976.8</v>
      </c>
      <c r="L56" s="70">
        <f t="shared" si="7"/>
        <v>747.6</v>
      </c>
      <c r="M56" s="382">
        <f t="shared" si="8"/>
        <v>390.72</v>
      </c>
      <c r="N56" s="382">
        <f t="shared" si="9"/>
        <v>249.2</v>
      </c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289"/>
      <c r="B57" s="289"/>
      <c r="C57" s="289"/>
      <c r="D57" s="289"/>
      <c r="E57" s="277">
        <v>55.0</v>
      </c>
      <c r="F57" s="47">
        <f t="shared" si="1"/>
        <v>17.6</v>
      </c>
      <c r="G57" s="47">
        <f t="shared" si="2"/>
        <v>7.64</v>
      </c>
      <c r="H57" s="47">
        <f t="shared" si="3"/>
        <v>15.28</v>
      </c>
      <c r="I57" s="47">
        <f t="shared" si="4"/>
        <v>32.88</v>
      </c>
      <c r="J57" s="47">
        <f t="shared" si="5"/>
        <v>822</v>
      </c>
      <c r="K57" s="47">
        <f t="shared" si="6"/>
        <v>986.4</v>
      </c>
      <c r="L57" s="70">
        <f t="shared" si="7"/>
        <v>757.2</v>
      </c>
      <c r="M57" s="382">
        <f t="shared" si="8"/>
        <v>394.56</v>
      </c>
      <c r="N57" s="382">
        <f t="shared" si="9"/>
        <v>252.4</v>
      </c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289"/>
      <c r="B58" s="289"/>
      <c r="C58" s="289"/>
      <c r="D58" s="289"/>
      <c r="E58" s="277">
        <v>56.0</v>
      </c>
      <c r="F58" s="47">
        <f t="shared" si="1"/>
        <v>17.92</v>
      </c>
      <c r="G58" s="47">
        <f t="shared" si="2"/>
        <v>7.64</v>
      </c>
      <c r="H58" s="47">
        <f t="shared" si="3"/>
        <v>15.28</v>
      </c>
      <c r="I58" s="47">
        <f t="shared" si="4"/>
        <v>33.2</v>
      </c>
      <c r="J58" s="47">
        <f t="shared" si="5"/>
        <v>830</v>
      </c>
      <c r="K58" s="47">
        <f t="shared" si="6"/>
        <v>996</v>
      </c>
      <c r="L58" s="70">
        <f t="shared" si="7"/>
        <v>766.8</v>
      </c>
      <c r="M58" s="382">
        <f t="shared" si="8"/>
        <v>398.4</v>
      </c>
      <c r="N58" s="382">
        <f t="shared" si="9"/>
        <v>255.6</v>
      </c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289"/>
      <c r="B59" s="289"/>
      <c r="C59" s="289"/>
      <c r="D59" s="289"/>
      <c r="E59" s="277">
        <v>57.0</v>
      </c>
      <c r="F59" s="47">
        <f t="shared" si="1"/>
        <v>18.24</v>
      </c>
      <c r="G59" s="47">
        <f t="shared" si="2"/>
        <v>7.64</v>
      </c>
      <c r="H59" s="47">
        <f t="shared" si="3"/>
        <v>15.28</v>
      </c>
      <c r="I59" s="47">
        <f t="shared" si="4"/>
        <v>33.52</v>
      </c>
      <c r="J59" s="47">
        <f t="shared" si="5"/>
        <v>838</v>
      </c>
      <c r="K59" s="47">
        <f t="shared" si="6"/>
        <v>1005.6</v>
      </c>
      <c r="L59" s="70">
        <f t="shared" si="7"/>
        <v>776.4</v>
      </c>
      <c r="M59" s="382">
        <f t="shared" si="8"/>
        <v>402.24</v>
      </c>
      <c r="N59" s="382">
        <f t="shared" si="9"/>
        <v>258.8</v>
      </c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289"/>
      <c r="B60" s="289"/>
      <c r="C60" s="289"/>
      <c r="D60" s="289"/>
      <c r="E60" s="277">
        <v>58.0</v>
      </c>
      <c r="F60" s="47">
        <f t="shared" si="1"/>
        <v>18.56</v>
      </c>
      <c r="G60" s="47">
        <f t="shared" si="2"/>
        <v>7.64</v>
      </c>
      <c r="H60" s="47">
        <f t="shared" si="3"/>
        <v>15.28</v>
      </c>
      <c r="I60" s="47">
        <f t="shared" si="4"/>
        <v>33.84</v>
      </c>
      <c r="J60" s="47">
        <f t="shared" si="5"/>
        <v>846</v>
      </c>
      <c r="K60" s="47">
        <f t="shared" si="6"/>
        <v>1015.2</v>
      </c>
      <c r="L60" s="70">
        <f t="shared" si="7"/>
        <v>786</v>
      </c>
      <c r="M60" s="382">
        <f t="shared" si="8"/>
        <v>406.08</v>
      </c>
      <c r="N60" s="382">
        <f t="shared" si="9"/>
        <v>262</v>
      </c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289"/>
      <c r="B61" s="289"/>
      <c r="C61" s="289"/>
      <c r="D61" s="289"/>
      <c r="E61" s="277">
        <v>59.0</v>
      </c>
      <c r="F61" s="47">
        <f t="shared" si="1"/>
        <v>18.88</v>
      </c>
      <c r="G61" s="47">
        <f t="shared" si="2"/>
        <v>7.64</v>
      </c>
      <c r="H61" s="47">
        <f t="shared" si="3"/>
        <v>15.28</v>
      </c>
      <c r="I61" s="47">
        <f t="shared" si="4"/>
        <v>34.16</v>
      </c>
      <c r="J61" s="47">
        <f t="shared" si="5"/>
        <v>854</v>
      </c>
      <c r="K61" s="47">
        <f t="shared" si="6"/>
        <v>1024.8</v>
      </c>
      <c r="L61" s="70">
        <f t="shared" si="7"/>
        <v>795.6</v>
      </c>
      <c r="M61" s="382">
        <f t="shared" si="8"/>
        <v>409.92</v>
      </c>
      <c r="N61" s="382">
        <f t="shared" si="9"/>
        <v>265.2</v>
      </c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289"/>
      <c r="B62" s="289"/>
      <c r="C62" s="289"/>
      <c r="D62" s="289"/>
      <c r="E62" s="277">
        <v>60.0</v>
      </c>
      <c r="F62" s="47">
        <f t="shared" si="1"/>
        <v>19.2</v>
      </c>
      <c r="G62" s="47">
        <f t="shared" si="2"/>
        <v>7.64</v>
      </c>
      <c r="H62" s="47">
        <f t="shared" si="3"/>
        <v>15.28</v>
      </c>
      <c r="I62" s="47">
        <f t="shared" si="4"/>
        <v>34.48</v>
      </c>
      <c r="J62" s="47">
        <f t="shared" si="5"/>
        <v>862</v>
      </c>
      <c r="K62" s="47">
        <f t="shared" si="6"/>
        <v>1034.4</v>
      </c>
      <c r="L62" s="70">
        <f t="shared" si="7"/>
        <v>805.2</v>
      </c>
      <c r="M62" s="382">
        <f t="shared" si="8"/>
        <v>413.76</v>
      </c>
      <c r="N62" s="382">
        <f t="shared" si="9"/>
        <v>268.4</v>
      </c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289"/>
      <c r="B63" s="289"/>
      <c r="C63" s="289"/>
      <c r="D63" s="289"/>
      <c r="E63" s="277">
        <v>61.0</v>
      </c>
      <c r="F63" s="47">
        <f t="shared" si="1"/>
        <v>19.52</v>
      </c>
      <c r="G63" s="47">
        <f t="shared" si="2"/>
        <v>7.64</v>
      </c>
      <c r="H63" s="47">
        <f t="shared" si="3"/>
        <v>15.28</v>
      </c>
      <c r="I63" s="47">
        <f t="shared" si="4"/>
        <v>34.8</v>
      </c>
      <c r="J63" s="47">
        <f t="shared" si="5"/>
        <v>870</v>
      </c>
      <c r="K63" s="47">
        <f t="shared" si="6"/>
        <v>1044</v>
      </c>
      <c r="L63" s="70">
        <f t="shared" si="7"/>
        <v>814.8</v>
      </c>
      <c r="M63" s="382">
        <f t="shared" si="8"/>
        <v>417.6</v>
      </c>
      <c r="N63" s="382">
        <f t="shared" si="9"/>
        <v>271.6</v>
      </c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43"/>
      <c r="B64" s="289"/>
      <c r="C64" s="289"/>
      <c r="D64" s="289"/>
      <c r="E64" s="277">
        <v>62.0</v>
      </c>
      <c r="F64" s="47">
        <f t="shared" si="1"/>
        <v>19.84</v>
      </c>
      <c r="G64" s="47">
        <f t="shared" si="2"/>
        <v>7.64</v>
      </c>
      <c r="H64" s="47">
        <f t="shared" si="3"/>
        <v>15.28</v>
      </c>
      <c r="I64" s="47">
        <f t="shared" si="4"/>
        <v>35.12</v>
      </c>
      <c r="J64" s="47">
        <f t="shared" si="5"/>
        <v>878</v>
      </c>
      <c r="K64" s="47">
        <f t="shared" si="6"/>
        <v>1053.6</v>
      </c>
      <c r="L64" s="70">
        <f t="shared" si="7"/>
        <v>824.4</v>
      </c>
      <c r="M64" s="382">
        <f t="shared" si="8"/>
        <v>421.44</v>
      </c>
      <c r="N64" s="382">
        <f t="shared" si="9"/>
        <v>274.8</v>
      </c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43"/>
      <c r="B65" s="289"/>
      <c r="C65" s="289"/>
      <c r="D65" s="289"/>
      <c r="E65" s="277">
        <v>63.0</v>
      </c>
      <c r="F65" s="47">
        <f t="shared" si="1"/>
        <v>20.16</v>
      </c>
      <c r="G65" s="47">
        <f t="shared" si="2"/>
        <v>7.64</v>
      </c>
      <c r="H65" s="47">
        <f t="shared" si="3"/>
        <v>15.28</v>
      </c>
      <c r="I65" s="47">
        <f t="shared" si="4"/>
        <v>35.44</v>
      </c>
      <c r="J65" s="47">
        <f t="shared" si="5"/>
        <v>886</v>
      </c>
      <c r="K65" s="47">
        <f t="shared" si="6"/>
        <v>1063.2</v>
      </c>
      <c r="L65" s="70">
        <f t="shared" si="7"/>
        <v>834</v>
      </c>
      <c r="M65" s="382">
        <f t="shared" si="8"/>
        <v>425.28</v>
      </c>
      <c r="N65" s="382">
        <f t="shared" si="9"/>
        <v>278</v>
      </c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43"/>
      <c r="B66" s="289"/>
      <c r="C66" s="289"/>
      <c r="D66" s="289"/>
      <c r="E66" s="277">
        <v>64.0</v>
      </c>
      <c r="F66" s="47">
        <f t="shared" si="1"/>
        <v>20.48</v>
      </c>
      <c r="G66" s="47">
        <f t="shared" si="2"/>
        <v>7.64</v>
      </c>
      <c r="H66" s="47">
        <f t="shared" si="3"/>
        <v>15.28</v>
      </c>
      <c r="I66" s="47">
        <f t="shared" si="4"/>
        <v>35.76</v>
      </c>
      <c r="J66" s="47">
        <f t="shared" si="5"/>
        <v>894</v>
      </c>
      <c r="K66" s="47">
        <f t="shared" si="6"/>
        <v>1072.8</v>
      </c>
      <c r="L66" s="70">
        <f t="shared" si="7"/>
        <v>843.6</v>
      </c>
      <c r="M66" s="382">
        <f t="shared" si="8"/>
        <v>429.12</v>
      </c>
      <c r="N66" s="382">
        <f t="shared" si="9"/>
        <v>281.2</v>
      </c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43"/>
      <c r="B67" s="289"/>
      <c r="C67" s="43"/>
      <c r="D67" s="289"/>
      <c r="E67" s="277">
        <v>65.0</v>
      </c>
      <c r="F67" s="47">
        <f t="shared" si="1"/>
        <v>20.8</v>
      </c>
      <c r="G67" s="47">
        <f t="shared" si="2"/>
        <v>7.64</v>
      </c>
      <c r="H67" s="47">
        <f t="shared" si="3"/>
        <v>15.28</v>
      </c>
      <c r="I67" s="47">
        <f t="shared" si="4"/>
        <v>36.08</v>
      </c>
      <c r="J67" s="47">
        <f t="shared" si="5"/>
        <v>902</v>
      </c>
      <c r="K67" s="47">
        <f t="shared" si="6"/>
        <v>1082.4</v>
      </c>
      <c r="L67" s="70">
        <f t="shared" si="7"/>
        <v>853.2</v>
      </c>
      <c r="M67" s="382">
        <f t="shared" si="8"/>
        <v>432.96</v>
      </c>
      <c r="N67" s="382">
        <f t="shared" si="9"/>
        <v>284.4</v>
      </c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43"/>
      <c r="B68" s="289"/>
      <c r="C68" s="43"/>
      <c r="D68" s="289"/>
      <c r="E68" s="277">
        <v>66.0</v>
      </c>
      <c r="F68" s="47">
        <f t="shared" si="1"/>
        <v>21.12</v>
      </c>
      <c r="G68" s="47">
        <f t="shared" si="2"/>
        <v>7.64</v>
      </c>
      <c r="H68" s="47">
        <f t="shared" si="3"/>
        <v>15.28</v>
      </c>
      <c r="I68" s="47">
        <f t="shared" si="4"/>
        <v>36.4</v>
      </c>
      <c r="J68" s="47">
        <f t="shared" si="5"/>
        <v>910</v>
      </c>
      <c r="K68" s="47">
        <f t="shared" si="6"/>
        <v>1092</v>
      </c>
      <c r="L68" s="70">
        <f t="shared" si="7"/>
        <v>862.8</v>
      </c>
      <c r="M68" s="382">
        <f t="shared" si="8"/>
        <v>436.8</v>
      </c>
      <c r="N68" s="382">
        <f t="shared" si="9"/>
        <v>287.6</v>
      </c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43"/>
      <c r="B69" s="289"/>
      <c r="C69" s="43"/>
      <c r="D69" s="289"/>
      <c r="E69" s="277">
        <v>67.0</v>
      </c>
      <c r="F69" s="47">
        <f t="shared" si="1"/>
        <v>21.44</v>
      </c>
      <c r="G69" s="47">
        <f t="shared" si="2"/>
        <v>7.64</v>
      </c>
      <c r="H69" s="47">
        <f t="shared" si="3"/>
        <v>15.28</v>
      </c>
      <c r="I69" s="47">
        <f t="shared" si="4"/>
        <v>36.72</v>
      </c>
      <c r="J69" s="47">
        <f t="shared" si="5"/>
        <v>918</v>
      </c>
      <c r="K69" s="47">
        <f t="shared" si="6"/>
        <v>1101.6</v>
      </c>
      <c r="L69" s="70">
        <f t="shared" si="7"/>
        <v>872.4</v>
      </c>
      <c r="M69" s="382">
        <f t="shared" si="8"/>
        <v>440.64</v>
      </c>
      <c r="N69" s="382">
        <f t="shared" si="9"/>
        <v>290.8</v>
      </c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43"/>
      <c r="B70" s="289"/>
      <c r="C70" s="43"/>
      <c r="D70" s="289"/>
      <c r="E70" s="277">
        <v>68.0</v>
      </c>
      <c r="F70" s="47">
        <f t="shared" si="1"/>
        <v>21.76</v>
      </c>
      <c r="G70" s="47">
        <f t="shared" si="2"/>
        <v>7.64</v>
      </c>
      <c r="H70" s="47">
        <f t="shared" si="3"/>
        <v>15.28</v>
      </c>
      <c r="I70" s="47">
        <f t="shared" si="4"/>
        <v>37.04</v>
      </c>
      <c r="J70" s="47">
        <f t="shared" si="5"/>
        <v>926</v>
      </c>
      <c r="K70" s="47">
        <f t="shared" si="6"/>
        <v>1111.2</v>
      </c>
      <c r="L70" s="70">
        <f t="shared" si="7"/>
        <v>882</v>
      </c>
      <c r="M70" s="382">
        <f t="shared" si="8"/>
        <v>444.48</v>
      </c>
      <c r="N70" s="382">
        <f t="shared" si="9"/>
        <v>294</v>
      </c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43"/>
      <c r="B71" s="289"/>
      <c r="C71" s="43"/>
      <c r="D71" s="43"/>
      <c r="E71" s="277">
        <v>69.0</v>
      </c>
      <c r="F71" s="47">
        <f t="shared" si="1"/>
        <v>22.08</v>
      </c>
      <c r="G71" s="47">
        <f t="shared" si="2"/>
        <v>7.64</v>
      </c>
      <c r="H71" s="47">
        <f t="shared" si="3"/>
        <v>15.28</v>
      </c>
      <c r="I71" s="47">
        <f t="shared" si="4"/>
        <v>37.36</v>
      </c>
      <c r="J71" s="47">
        <f t="shared" si="5"/>
        <v>934</v>
      </c>
      <c r="K71" s="47">
        <f t="shared" si="6"/>
        <v>1120.8</v>
      </c>
      <c r="L71" s="70">
        <f t="shared" si="7"/>
        <v>891.6</v>
      </c>
      <c r="M71" s="382">
        <f t="shared" si="8"/>
        <v>448.32</v>
      </c>
      <c r="N71" s="382">
        <f t="shared" si="9"/>
        <v>297.2</v>
      </c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43"/>
      <c r="B72" s="289"/>
      <c r="C72" s="47"/>
      <c r="D72" s="47"/>
      <c r="E72" s="277">
        <v>70.0</v>
      </c>
      <c r="F72" s="47">
        <f t="shared" si="1"/>
        <v>22.4</v>
      </c>
      <c r="G72" s="47">
        <f t="shared" si="2"/>
        <v>7.64</v>
      </c>
      <c r="H72" s="47">
        <f t="shared" si="3"/>
        <v>15.28</v>
      </c>
      <c r="I72" s="47">
        <f t="shared" si="4"/>
        <v>37.68</v>
      </c>
      <c r="J72" s="47">
        <f t="shared" si="5"/>
        <v>942</v>
      </c>
      <c r="K72" s="47">
        <f t="shared" si="6"/>
        <v>1130.4</v>
      </c>
      <c r="L72" s="70">
        <f t="shared" si="7"/>
        <v>901.2</v>
      </c>
      <c r="M72" s="382">
        <f t="shared" si="8"/>
        <v>452.16</v>
      </c>
      <c r="N72" s="382">
        <f t="shared" si="9"/>
        <v>300.4</v>
      </c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43"/>
      <c r="B73" s="289"/>
      <c r="C73" s="47"/>
      <c r="D73" s="47"/>
      <c r="E73" s="277">
        <v>71.0</v>
      </c>
      <c r="F73" s="47">
        <f t="shared" si="1"/>
        <v>22.72</v>
      </c>
      <c r="G73" s="47">
        <f t="shared" si="2"/>
        <v>7.64</v>
      </c>
      <c r="H73" s="47">
        <f t="shared" si="3"/>
        <v>15.28</v>
      </c>
      <c r="I73" s="47">
        <f t="shared" si="4"/>
        <v>38</v>
      </c>
      <c r="J73" s="47">
        <f t="shared" si="5"/>
        <v>950</v>
      </c>
      <c r="K73" s="47">
        <f t="shared" si="6"/>
        <v>1140</v>
      </c>
      <c r="L73" s="70">
        <f t="shared" si="7"/>
        <v>910.8</v>
      </c>
      <c r="M73" s="382">
        <f t="shared" si="8"/>
        <v>456</v>
      </c>
      <c r="N73" s="382">
        <f t="shared" si="9"/>
        <v>303.6</v>
      </c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43"/>
      <c r="B74" s="289"/>
      <c r="C74" s="47"/>
      <c r="D74" s="47"/>
      <c r="E74" s="277">
        <v>72.0</v>
      </c>
      <c r="F74" s="47">
        <f t="shared" si="1"/>
        <v>23.04</v>
      </c>
      <c r="G74" s="47">
        <f t="shared" si="2"/>
        <v>7.64</v>
      </c>
      <c r="H74" s="47">
        <f t="shared" si="3"/>
        <v>15.28</v>
      </c>
      <c r="I74" s="47">
        <f t="shared" si="4"/>
        <v>38.32</v>
      </c>
      <c r="J74" s="47">
        <f t="shared" si="5"/>
        <v>958</v>
      </c>
      <c r="K74" s="47">
        <f t="shared" si="6"/>
        <v>1149.6</v>
      </c>
      <c r="L74" s="70">
        <f t="shared" si="7"/>
        <v>920.4</v>
      </c>
      <c r="M74" s="382">
        <f t="shared" si="8"/>
        <v>459.84</v>
      </c>
      <c r="N74" s="382">
        <f t="shared" si="9"/>
        <v>306.8</v>
      </c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43"/>
      <c r="B75" s="289"/>
      <c r="C75" s="47"/>
      <c r="D75" s="47"/>
      <c r="E75" s="277">
        <v>73.0</v>
      </c>
      <c r="F75" s="47">
        <f t="shared" si="1"/>
        <v>23.36</v>
      </c>
      <c r="G75" s="47">
        <f t="shared" si="2"/>
        <v>7.64</v>
      </c>
      <c r="H75" s="47">
        <f t="shared" si="3"/>
        <v>15.28</v>
      </c>
      <c r="I75" s="47">
        <f t="shared" si="4"/>
        <v>38.64</v>
      </c>
      <c r="J75" s="47">
        <f t="shared" si="5"/>
        <v>966</v>
      </c>
      <c r="K75" s="47">
        <f t="shared" si="6"/>
        <v>1159.2</v>
      </c>
      <c r="L75" s="70">
        <f t="shared" si="7"/>
        <v>930</v>
      </c>
      <c r="M75" s="382">
        <f t="shared" si="8"/>
        <v>463.68</v>
      </c>
      <c r="N75" s="382">
        <f t="shared" si="9"/>
        <v>310</v>
      </c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43"/>
      <c r="B76" s="289"/>
      <c r="C76" s="47"/>
      <c r="D76" s="47"/>
      <c r="E76" s="277">
        <v>74.0</v>
      </c>
      <c r="F76" s="47">
        <f t="shared" si="1"/>
        <v>23.68</v>
      </c>
      <c r="G76" s="47">
        <f t="shared" si="2"/>
        <v>7.64</v>
      </c>
      <c r="H76" s="47">
        <f t="shared" si="3"/>
        <v>15.28</v>
      </c>
      <c r="I76" s="47">
        <f t="shared" si="4"/>
        <v>38.96</v>
      </c>
      <c r="J76" s="47">
        <f t="shared" si="5"/>
        <v>974</v>
      </c>
      <c r="K76" s="47">
        <f t="shared" si="6"/>
        <v>1168.8</v>
      </c>
      <c r="L76" s="70">
        <f t="shared" si="7"/>
        <v>939.6</v>
      </c>
      <c r="M76" s="382">
        <f t="shared" si="8"/>
        <v>467.52</v>
      </c>
      <c r="N76" s="382">
        <f t="shared" si="9"/>
        <v>313.2</v>
      </c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43"/>
      <c r="B77" s="289"/>
      <c r="C77" s="47"/>
      <c r="D77" s="47"/>
      <c r="E77" s="277">
        <v>75.0</v>
      </c>
      <c r="F77" s="47">
        <f t="shared" si="1"/>
        <v>24</v>
      </c>
      <c r="G77" s="47">
        <f t="shared" si="2"/>
        <v>7.64</v>
      </c>
      <c r="H77" s="47">
        <f t="shared" si="3"/>
        <v>15.28</v>
      </c>
      <c r="I77" s="47">
        <f t="shared" si="4"/>
        <v>39.28</v>
      </c>
      <c r="J77" s="47">
        <f t="shared" si="5"/>
        <v>982</v>
      </c>
      <c r="K77" s="47">
        <f t="shared" si="6"/>
        <v>1178.4</v>
      </c>
      <c r="L77" s="70">
        <f t="shared" si="7"/>
        <v>949.2</v>
      </c>
      <c r="M77" s="382">
        <f t="shared" si="8"/>
        <v>471.36</v>
      </c>
      <c r="N77" s="382">
        <f t="shared" si="9"/>
        <v>316.4</v>
      </c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43"/>
      <c r="B78" s="289"/>
      <c r="C78" s="47"/>
      <c r="D78" s="47"/>
      <c r="E78" s="277">
        <v>76.0</v>
      </c>
      <c r="F78" s="47">
        <f t="shared" si="1"/>
        <v>24.32</v>
      </c>
      <c r="G78" s="47">
        <f t="shared" si="2"/>
        <v>7.64</v>
      </c>
      <c r="H78" s="47">
        <f t="shared" si="3"/>
        <v>15.28</v>
      </c>
      <c r="I78" s="47">
        <f t="shared" si="4"/>
        <v>39.6</v>
      </c>
      <c r="J78" s="47">
        <f t="shared" si="5"/>
        <v>990</v>
      </c>
      <c r="K78" s="47">
        <f t="shared" si="6"/>
        <v>1188</v>
      </c>
      <c r="L78" s="70">
        <f t="shared" si="7"/>
        <v>958.8</v>
      </c>
      <c r="M78" s="382">
        <f t="shared" si="8"/>
        <v>475.2</v>
      </c>
      <c r="N78" s="382">
        <f t="shared" si="9"/>
        <v>319.6</v>
      </c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43"/>
      <c r="B79" s="289"/>
      <c r="C79" s="47"/>
      <c r="D79" s="47"/>
      <c r="E79" s="277">
        <v>77.0</v>
      </c>
      <c r="F79" s="47">
        <f t="shared" si="1"/>
        <v>24.64</v>
      </c>
      <c r="G79" s="47">
        <f t="shared" si="2"/>
        <v>7.64</v>
      </c>
      <c r="H79" s="47">
        <f t="shared" si="3"/>
        <v>15.28</v>
      </c>
      <c r="I79" s="47">
        <f t="shared" si="4"/>
        <v>39.92</v>
      </c>
      <c r="J79" s="47">
        <f t="shared" si="5"/>
        <v>998</v>
      </c>
      <c r="K79" s="47">
        <f t="shared" si="6"/>
        <v>1197.6</v>
      </c>
      <c r="L79" s="70">
        <f t="shared" si="7"/>
        <v>968.4</v>
      </c>
      <c r="M79" s="382">
        <f t="shared" si="8"/>
        <v>479.04</v>
      </c>
      <c r="N79" s="382">
        <f t="shared" si="9"/>
        <v>322.8</v>
      </c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47"/>
      <c r="B80" s="47"/>
      <c r="C80" s="47"/>
      <c r="D80" s="47"/>
      <c r="E80" s="277">
        <v>78.0</v>
      </c>
      <c r="F80" s="47">
        <f t="shared" si="1"/>
        <v>24.96</v>
      </c>
      <c r="G80" s="47">
        <f t="shared" si="2"/>
        <v>7.64</v>
      </c>
      <c r="H80" s="47">
        <f t="shared" si="3"/>
        <v>15.28</v>
      </c>
      <c r="I80" s="47">
        <f t="shared" si="4"/>
        <v>40.24</v>
      </c>
      <c r="J80" s="47">
        <f t="shared" si="5"/>
        <v>1006</v>
      </c>
      <c r="K80" s="47">
        <f t="shared" si="6"/>
        <v>1207.2</v>
      </c>
      <c r="L80" s="70">
        <f t="shared" si="7"/>
        <v>978</v>
      </c>
      <c r="M80" s="382">
        <f t="shared" si="8"/>
        <v>482.88</v>
      </c>
      <c r="N80" s="382">
        <f t="shared" si="9"/>
        <v>326</v>
      </c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47"/>
      <c r="B81" s="47"/>
      <c r="C81" s="47"/>
      <c r="D81" s="47"/>
      <c r="E81" s="277">
        <v>79.0</v>
      </c>
      <c r="F81" s="47">
        <f t="shared" si="1"/>
        <v>25.28</v>
      </c>
      <c r="G81" s="47">
        <f t="shared" si="2"/>
        <v>7.64</v>
      </c>
      <c r="H81" s="47">
        <f t="shared" si="3"/>
        <v>15.28</v>
      </c>
      <c r="I81" s="47">
        <f t="shared" si="4"/>
        <v>40.56</v>
      </c>
      <c r="J81" s="47">
        <f t="shared" si="5"/>
        <v>1014</v>
      </c>
      <c r="K81" s="47">
        <f t="shared" si="6"/>
        <v>1216.8</v>
      </c>
      <c r="L81" s="70">
        <f t="shared" si="7"/>
        <v>987.6</v>
      </c>
      <c r="M81" s="382">
        <f t="shared" si="8"/>
        <v>486.72</v>
      </c>
      <c r="N81" s="382">
        <f t="shared" si="9"/>
        <v>329.2</v>
      </c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47"/>
      <c r="B82" s="47"/>
      <c r="C82" s="47"/>
      <c r="D82" s="47"/>
      <c r="E82" s="277">
        <v>80.0</v>
      </c>
      <c r="F82" s="47">
        <f t="shared" si="1"/>
        <v>25.6</v>
      </c>
      <c r="G82" s="47">
        <f t="shared" si="2"/>
        <v>7.64</v>
      </c>
      <c r="H82" s="47">
        <f t="shared" si="3"/>
        <v>15.28</v>
      </c>
      <c r="I82" s="47">
        <f t="shared" si="4"/>
        <v>40.88</v>
      </c>
      <c r="J82" s="47">
        <f t="shared" si="5"/>
        <v>1022</v>
      </c>
      <c r="K82" s="47">
        <f t="shared" si="6"/>
        <v>1226.4</v>
      </c>
      <c r="L82" s="70">
        <f t="shared" si="7"/>
        <v>997.2</v>
      </c>
      <c r="M82" s="382">
        <f t="shared" si="8"/>
        <v>490.56</v>
      </c>
      <c r="N82" s="382">
        <f t="shared" si="9"/>
        <v>332.4</v>
      </c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47"/>
      <c r="B83" s="47"/>
      <c r="C83" s="47"/>
      <c r="D83" s="47"/>
      <c r="E83" s="290"/>
      <c r="F83" s="291"/>
      <c r="G83" s="291"/>
      <c r="H83" s="291"/>
      <c r="I83" s="291"/>
      <c r="J83" s="291"/>
      <c r="K83" s="291"/>
      <c r="L83" s="292"/>
      <c r="M83" s="391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conditionalFormatting sqref="J3:J82">
    <cfRule type="colorScale" priority="1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I3:I82">
    <cfRule type="colorScale" priority="2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I3:I82">
    <cfRule type="colorScale" priority="3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B22:B79 D22:D71">
    <cfRule type="colorScale" priority="4">
      <colorScale>
        <cfvo type="min"/>
        <cfvo type="percent" val="50"/>
        <cfvo type="max"/>
        <color rgb="FF000000"/>
        <color rgb="FF274E13"/>
        <color rgb="FF38761D"/>
      </colorScale>
    </cfRule>
  </conditionalFormatting>
  <conditionalFormatting sqref="D71">
    <cfRule type="colorScale" priority="5">
      <colorScale>
        <cfvo type="min"/>
        <cfvo type="max"/>
        <color rgb="FFFFFFFF"/>
        <color rgb="FF57BB8A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6" max="6" width="14.5"/>
    <col customWidth="1" min="7" max="7" width="16.88"/>
  </cols>
  <sheetData>
    <row r="1">
      <c r="A1" s="235" t="s">
        <v>380</v>
      </c>
      <c r="B1" s="392"/>
      <c r="C1" s="235"/>
      <c r="D1" s="40" t="s">
        <v>381</v>
      </c>
      <c r="E1" s="235"/>
      <c r="F1" s="235"/>
      <c r="G1" s="56"/>
      <c r="H1" s="392"/>
      <c r="I1" s="392"/>
      <c r="J1" s="235"/>
      <c r="K1" s="56"/>
      <c r="L1" s="235"/>
      <c r="M1" s="235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393"/>
      <c r="B2" s="394" t="s">
        <v>382</v>
      </c>
      <c r="C2" s="395" t="s">
        <v>383</v>
      </c>
      <c r="D2" s="395" t="s">
        <v>384</v>
      </c>
      <c r="E2" s="394" t="s">
        <v>385</v>
      </c>
      <c r="F2" s="394" t="s">
        <v>386</v>
      </c>
      <c r="G2" s="394" t="s">
        <v>387</v>
      </c>
      <c r="H2" s="393"/>
      <c r="I2" s="396"/>
      <c r="J2" s="395"/>
      <c r="K2" s="393"/>
      <c r="L2" s="396"/>
      <c r="M2" s="395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395" t="s">
        <v>388</v>
      </c>
      <c r="B3" s="394">
        <v>0.084</v>
      </c>
      <c r="C3" s="395">
        <v>3.0</v>
      </c>
      <c r="D3" s="393">
        <f t="shared" ref="D3:D6" si="1">C3*B3</f>
        <v>0.252</v>
      </c>
      <c r="E3" s="394">
        <v>0.2625</v>
      </c>
      <c r="F3" s="394">
        <f t="shared" ref="F3:F6" si="2">D3+E3</f>
        <v>0.5145</v>
      </c>
      <c r="G3" s="397">
        <f t="shared" ref="G3:G6" si="3">E3/F3</f>
        <v>0.5102040816</v>
      </c>
      <c r="H3" s="393"/>
      <c r="I3" s="396"/>
      <c r="J3" s="395"/>
      <c r="K3" s="393"/>
      <c r="L3" s="396"/>
      <c r="M3" s="395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395" t="s">
        <v>389</v>
      </c>
      <c r="B4" s="394">
        <v>0.0735</v>
      </c>
      <c r="C4" s="395">
        <v>5.0</v>
      </c>
      <c r="D4" s="393">
        <f t="shared" si="1"/>
        <v>0.3675</v>
      </c>
      <c r="E4" s="394">
        <v>0.294</v>
      </c>
      <c r="F4" s="394">
        <f t="shared" si="2"/>
        <v>0.6615</v>
      </c>
      <c r="G4" s="397">
        <f t="shared" si="3"/>
        <v>0.4444444444</v>
      </c>
      <c r="H4" s="393"/>
      <c r="I4" s="396"/>
      <c r="J4" s="395"/>
      <c r="K4" s="393"/>
      <c r="L4" s="396"/>
      <c r="M4" s="395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395" t="s">
        <v>390</v>
      </c>
      <c r="B5" s="394">
        <v>0.084</v>
      </c>
      <c r="C5" s="395">
        <v>3.0</v>
      </c>
      <c r="D5" s="393">
        <f t="shared" si="1"/>
        <v>0.252</v>
      </c>
      <c r="E5" s="394">
        <v>0.2625</v>
      </c>
      <c r="F5" s="394">
        <f t="shared" si="2"/>
        <v>0.5145</v>
      </c>
      <c r="G5" s="397">
        <f t="shared" si="3"/>
        <v>0.5102040816</v>
      </c>
      <c r="H5" s="393"/>
      <c r="I5" s="396"/>
      <c r="J5" s="395"/>
      <c r="K5" s="393"/>
      <c r="L5" s="396"/>
      <c r="M5" s="395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395" t="s">
        <v>391</v>
      </c>
      <c r="B6" s="394">
        <v>0.105</v>
      </c>
      <c r="C6" s="395">
        <v>2.0</v>
      </c>
      <c r="D6" s="393">
        <f t="shared" si="1"/>
        <v>0.21</v>
      </c>
      <c r="E6" s="394">
        <v>0.525</v>
      </c>
      <c r="F6" s="394">
        <f t="shared" si="2"/>
        <v>0.735</v>
      </c>
      <c r="G6" s="397">
        <f t="shared" si="3"/>
        <v>0.7142857143</v>
      </c>
      <c r="H6" s="398"/>
      <c r="I6" s="398"/>
      <c r="J6" s="393"/>
      <c r="K6" s="393"/>
      <c r="L6" s="396"/>
      <c r="M6" s="395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392"/>
      <c r="B7" s="392"/>
      <c r="C7" s="393"/>
      <c r="D7" s="393"/>
      <c r="E7" s="394"/>
      <c r="F7" s="395"/>
      <c r="G7" s="196"/>
      <c r="H7" s="392"/>
      <c r="I7" s="392"/>
      <c r="J7" s="393"/>
      <c r="K7" s="393"/>
      <c r="L7" s="396"/>
      <c r="M7" s="395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235" t="s">
        <v>380</v>
      </c>
      <c r="B8" s="392"/>
      <c r="C8" s="235"/>
      <c r="D8" s="56"/>
      <c r="E8" s="235"/>
      <c r="F8" s="235"/>
      <c r="G8" s="196"/>
      <c r="H8" s="392"/>
      <c r="I8" s="392"/>
      <c r="J8" s="393"/>
      <c r="K8" s="393"/>
      <c r="L8" s="396"/>
      <c r="M8" s="395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393"/>
      <c r="B9" s="394" t="s">
        <v>382</v>
      </c>
      <c r="C9" s="395" t="s">
        <v>383</v>
      </c>
      <c r="D9" s="395" t="s">
        <v>384</v>
      </c>
      <c r="E9" s="394" t="s">
        <v>385</v>
      </c>
      <c r="F9" s="394" t="s">
        <v>386</v>
      </c>
      <c r="G9" s="394" t="s">
        <v>387</v>
      </c>
      <c r="H9" s="392"/>
      <c r="I9" s="392"/>
      <c r="J9" s="392"/>
      <c r="K9" s="56"/>
      <c r="L9" s="39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395" t="s">
        <v>388</v>
      </c>
      <c r="B10" s="394">
        <v>0.084</v>
      </c>
      <c r="C10" s="395">
        <v>2.0</v>
      </c>
      <c r="D10" s="393">
        <f t="shared" ref="D10:D13" si="4">C10*B10</f>
        <v>0.168</v>
      </c>
      <c r="E10" s="394">
        <v>0.2625</v>
      </c>
      <c r="F10" s="394">
        <f t="shared" ref="F10:F13" si="5">D10+E10</f>
        <v>0.4305</v>
      </c>
      <c r="G10" s="397">
        <f t="shared" ref="G10:G13" si="6">E10/F10</f>
        <v>0.6097560976</v>
      </c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395" t="s">
        <v>389</v>
      </c>
      <c r="B11" s="394">
        <v>0.0735</v>
      </c>
      <c r="C11" s="395">
        <v>4.0</v>
      </c>
      <c r="D11" s="393">
        <f t="shared" si="4"/>
        <v>0.294</v>
      </c>
      <c r="E11" s="394">
        <v>0.294</v>
      </c>
      <c r="F11" s="394">
        <f t="shared" si="5"/>
        <v>0.588</v>
      </c>
      <c r="G11" s="397">
        <f t="shared" si="6"/>
        <v>0.5</v>
      </c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395" t="s">
        <v>390</v>
      </c>
      <c r="B12" s="394">
        <v>0.084</v>
      </c>
      <c r="C12" s="395">
        <v>2.0</v>
      </c>
      <c r="D12" s="393">
        <f t="shared" si="4"/>
        <v>0.168</v>
      </c>
      <c r="E12" s="394">
        <v>0.2625</v>
      </c>
      <c r="F12" s="394">
        <f t="shared" si="5"/>
        <v>0.4305</v>
      </c>
      <c r="G12" s="397">
        <f t="shared" si="6"/>
        <v>0.6097560976</v>
      </c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395" t="s">
        <v>391</v>
      </c>
      <c r="B13" s="394">
        <v>0.105</v>
      </c>
      <c r="C13" s="395">
        <v>1.0</v>
      </c>
      <c r="D13" s="393">
        <f t="shared" si="4"/>
        <v>0.105</v>
      </c>
      <c r="E13" s="394">
        <v>0.525</v>
      </c>
      <c r="F13" s="394">
        <f t="shared" si="5"/>
        <v>0.63</v>
      </c>
      <c r="G13" s="397">
        <f t="shared" si="6"/>
        <v>0.8333333333</v>
      </c>
      <c r="H13" s="56"/>
      <c r="I13" s="56"/>
      <c r="J13" s="40"/>
      <c r="K13" s="40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399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40" t="s">
        <v>392</v>
      </c>
      <c r="B15" s="40" t="s">
        <v>393</v>
      </c>
      <c r="C15" s="40" t="s">
        <v>341</v>
      </c>
      <c r="D15" s="40" t="s">
        <v>394</v>
      </c>
      <c r="E15" s="40" t="s">
        <v>395</v>
      </c>
      <c r="F15" s="40" t="s">
        <v>396</v>
      </c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40" t="s">
        <v>397</v>
      </c>
      <c r="B16" s="40">
        <v>5.0</v>
      </c>
      <c r="C16" s="40">
        <v>6.0</v>
      </c>
      <c r="D16" s="298">
        <f>C16/5.06</f>
        <v>1.185770751</v>
      </c>
      <c r="E16" s="298">
        <f>C16/10.27</f>
        <v>0.5842259007</v>
      </c>
      <c r="F16" s="298">
        <f>C16/7.665</f>
        <v>0.782778865</v>
      </c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400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400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400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400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400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400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400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400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400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40" t="s">
        <v>398</v>
      </c>
      <c r="B59" s="40">
        <v>0.0</v>
      </c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43"/>
      <c r="B60" s="47"/>
      <c r="C60" s="47"/>
      <c r="D60" s="47"/>
      <c r="E60" s="47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276" t="s">
        <v>399</v>
      </c>
      <c r="B61" s="45" t="s">
        <v>296</v>
      </c>
      <c r="C61" s="45" t="s">
        <v>299</v>
      </c>
      <c r="D61" s="45" t="s">
        <v>370</v>
      </c>
      <c r="E61" s="45" t="s">
        <v>371</v>
      </c>
      <c r="F61" s="46" t="s">
        <v>372</v>
      </c>
      <c r="G61" s="381" t="s">
        <v>373</v>
      </c>
      <c r="H61" s="381" t="s">
        <v>374</v>
      </c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401">
        <v>100.0</v>
      </c>
      <c r="B62" s="291">
        <f>A62+A62*$C$3</f>
        <v>400</v>
      </c>
      <c r="C62" s="291"/>
      <c r="D62" s="291">
        <f>$C$6*C62</f>
        <v>0</v>
      </c>
      <c r="E62" s="291">
        <f>D62*(1+$D$3)</f>
        <v>0</v>
      </c>
      <c r="F62" s="292" t="str">
        <f>$C$6*(A62+#REF!)*(1+$D$3)</f>
        <v>#REF!</v>
      </c>
      <c r="G62" s="391" t="str">
        <f>$A$6*(B62+#REF!)*(1+$D$3)</f>
        <v>#REF!</v>
      </c>
      <c r="H62" s="391" t="str">
        <f>$A$6*(#REF!+A62)</f>
        <v>#REF!</v>
      </c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conditionalFormatting sqref="D62">
    <cfRule type="colorScale" priority="1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C62">
    <cfRule type="colorScale" priority="2">
      <colorScale>
        <cfvo type="min"/>
        <cfvo type="percentile" val="50"/>
        <cfvo type="max"/>
        <color rgb="FF660000"/>
        <color rgb="FF000000"/>
        <color rgb="FF274E13"/>
      </colorScale>
    </cfRule>
  </conditionalFormatting>
  <conditionalFormatting sqref="C62">
    <cfRule type="colorScale" priority="3">
      <colorScale>
        <cfvo type="min"/>
        <cfvo type="percentile" val="50"/>
        <cfvo type="max"/>
        <color rgb="FF660000"/>
        <color rgb="FF000000"/>
        <color rgb="FF274E13"/>
      </colorScale>
    </cfRule>
  </conditionalFormatting>
  <drawing r:id="rId1"/>
</worksheet>
</file>